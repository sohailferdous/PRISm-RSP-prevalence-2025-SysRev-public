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<sst xmlns="http://schemas.openxmlformats.org/spreadsheetml/2006/main" count="992" uniqueCount="219">
  <si>
    <t xml:space="preserve">id</t>
  </si>
  <si>
    <t xml:space="preserve">pub_year</t>
  </si>
  <si>
    <t xml:space="preserve">author</t>
  </si>
  <si>
    <t xml:space="preserve">country</t>
  </si>
  <si>
    <t xml:space="preserve">geo_location</t>
  </si>
  <si>
    <t xml:space="preserve">income_class</t>
  </si>
  <si>
    <t xml:space="preserve">data.source</t>
  </si>
  <si>
    <t xml:space="preserve">diag_defn</t>
  </si>
  <si>
    <t xml:space="preserve">diag</t>
  </si>
  <si>
    <t xml:space="preserve">bronchod</t>
  </si>
  <si>
    <t xml:space="preserve">general.population</t>
  </si>
  <si>
    <t xml:space="preserve">sample_size</t>
  </si>
  <si>
    <t xml:space="preserve">case</t>
  </si>
  <si>
    <t xml:space="preserve">age</t>
  </si>
  <si>
    <t xml:space="preserve">mean_age</t>
  </si>
  <si>
    <t xml:space="preserve">male_total</t>
  </si>
  <si>
    <t xml:space="preserve">female_total</t>
  </si>
  <si>
    <t xml:space="preserve">males_percent</t>
  </si>
  <si>
    <t xml:space="preserve">females_percent</t>
  </si>
  <si>
    <t xml:space="preserve">tot_non</t>
  </si>
  <si>
    <t xml:space="preserve">tot_ex</t>
  </si>
  <si>
    <t xml:space="preserve">tot_cur</t>
  </si>
  <si>
    <t xml:space="preserve">non-smoker_percent</t>
  </si>
  <si>
    <t xml:space="preserve">ex-smoker_percent</t>
  </si>
  <si>
    <t xml:space="preserve">current_smoker_percent</t>
  </si>
  <si>
    <t xml:space="preserve">case (repeat from column M)</t>
  </si>
  <si>
    <t xml:space="preserve">male_cases</t>
  </si>
  <si>
    <t xml:space="preserve">female_cases</t>
  </si>
  <si>
    <t xml:space="preserve">case_non</t>
  </si>
  <si>
    <t xml:space="preserve">case_ex</t>
  </si>
  <si>
    <t xml:space="preserve">case_cur</t>
  </si>
  <si>
    <t xml:space="preserve">overall</t>
  </si>
  <si>
    <t xml:space="preserve">male</t>
  </si>
  <si>
    <t xml:space="preserve">female</t>
  </si>
  <si>
    <t xml:space="preserve">non-smoker</t>
  </si>
  <si>
    <t xml:space="preserve">ex-smoker</t>
  </si>
  <si>
    <t xml:space="preserve">current.smoker</t>
  </si>
  <si>
    <t xml:space="preserve">overall.prev</t>
  </si>
  <si>
    <t xml:space="preserve">gender.prev</t>
  </si>
  <si>
    <t xml:space="preserve">smoking.prev</t>
  </si>
  <si>
    <t xml:space="preserve">comb.prism.rsp.prev</t>
  </si>
  <si>
    <t xml:space="preserve">overall_reg</t>
  </si>
  <si>
    <t xml:space="preserve">male_reg</t>
  </si>
  <si>
    <t xml:space="preserve">female_reg</t>
  </si>
  <si>
    <t xml:space="preserve">non-smoker_reg</t>
  </si>
  <si>
    <t xml:space="preserve">ex-smoker_reg</t>
  </si>
  <si>
    <t xml:space="preserve">current smoker_reg</t>
  </si>
  <si>
    <t xml:space="preserve">qa_score</t>
  </si>
  <si>
    <t xml:space="preserve">Backman et. al. (2016)</t>
  </si>
  <si>
    <t xml:space="preserve">Sweden</t>
  </si>
  <si>
    <t xml:space="preserve">EUR</t>
  </si>
  <si>
    <t xml:space="preserve">high</t>
  </si>
  <si>
    <t xml:space="preserve">original</t>
  </si>
  <si>
    <t xml:space="preserve">gold</t>
  </si>
  <si>
    <t xml:space="preserve">rsp</t>
  </si>
  <si>
    <t xml:space="preserve">no</t>
  </si>
  <si>
    <t xml:space="preserve">yes</t>
  </si>
  <si>
    <t xml:space="preserve">y</t>
  </si>
  <si>
    <t xml:space="preserve">n</t>
  </si>
  <si>
    <t xml:space="preserve">lln</t>
  </si>
  <si>
    <t xml:space="preserve">Cadham et. al. (2024)</t>
  </si>
  <si>
    <t xml:space="preserve">USA</t>
  </si>
  <si>
    <t xml:space="preserve">AMR</t>
  </si>
  <si>
    <t xml:space="preserve">NHANES 2007-2012</t>
  </si>
  <si>
    <t xml:space="preserve">prism</t>
  </si>
  <si>
    <t xml:space="preserve">Carsin et. al. (2019)</t>
  </si>
  <si>
    <t xml:space="preserve">Switzerland and Europe</t>
  </si>
  <si>
    <t xml:space="preserve">ECRHS and SAPALDIA 2001 and 2011</t>
  </si>
  <si>
    <t xml:space="preserve">Domingo-Relloso et. al. (2022)</t>
  </si>
  <si>
    <t xml:space="preserve">Strong Heart Study cohort</t>
  </si>
  <si>
    <t xml:space="preserve">Median (IQR): 55 (49-61)</t>
  </si>
  <si>
    <t xml:space="preserve">Eriksson et. al. (2013)</t>
  </si>
  <si>
    <t xml:space="preserve">original - as part of Obstructive Lung Disease in Northern Sweden (OLIN) studies</t>
  </si>
  <si>
    <t xml:space="preserve">Mean: 49</t>
  </si>
  <si>
    <t xml:space="preserve">Fimognari et. al. (2007)</t>
  </si>
  <si>
    <t xml:space="preserve">Italy</t>
  </si>
  <si>
    <t xml:space="preserve">Mean (SD): 70.2 (8.5)</t>
  </si>
  <si>
    <t xml:space="preserve">Ford et. al. (2014)</t>
  </si>
  <si>
    <t xml:space="preserve">NHANES 2007-2010</t>
  </si>
  <si>
    <t xml:space="preserve">Mean (SD): 41.9 (0.6)</t>
  </si>
  <si>
    <t xml:space="preserve">Fragoso et. al. (2011)</t>
  </si>
  <si>
    <t xml:space="preserve">NHANES III 1988-2000 and CHS (Cardiovascular Health Study) population 1989-2002</t>
  </si>
  <si>
    <t xml:space="preserve">Mean (SD): 72.5 (4.5)</t>
  </si>
  <si>
    <t xml:space="preserve">Guerra et. al. (2017)</t>
  </si>
  <si>
    <t xml:space="preserve">ECRHS and SAPALDIA 1991-2002</t>
  </si>
  <si>
    <t xml:space="preserve">Guerra et. al. (2010)</t>
  </si>
  <si>
    <t xml:space="preserve">Tucson Epidemiological Study of Airway Obstructive Disease (TESAOD)</t>
  </si>
  <si>
    <t xml:space="preserve">Higbee et. al. (2022)</t>
  </si>
  <si>
    <t xml:space="preserve">UK</t>
  </si>
  <si>
    <t xml:space="preserve">UK Biobank 2006-2010</t>
  </si>
  <si>
    <t xml:space="preserve">Mean (SD): 56 (7)</t>
  </si>
  <si>
    <t xml:space="preserve">Joshi et. al. (2021)</t>
  </si>
  <si>
    <t xml:space="preserve">Canada</t>
  </si>
  <si>
    <t xml:space="preserve">Canadian Longitudinal Study on Aging</t>
  </si>
  <si>
    <t xml:space="preserve">Kaaks et. al. (2022)</t>
  </si>
  <si>
    <t xml:space="preserve">Germany</t>
  </si>
  <si>
    <t xml:space="preserve">German Lung Cancer Screening Intervention Study (LUSI)</t>
  </si>
  <si>
    <t xml:space="preserve">Kaise et. al. (2021)</t>
  </si>
  <si>
    <t xml:space="preserve">Japan</t>
  </si>
  <si>
    <t xml:space="preserve">WPR</t>
  </si>
  <si>
    <t xml:space="preserve">OCEAN (Okinawa COPD casE finding AssessmeNt) study</t>
  </si>
  <si>
    <t xml:space="preserve">Mean (SD): 52.0 (8.8)</t>
  </si>
  <si>
    <t xml:space="preserve">Kanetake et. al. (2022)</t>
  </si>
  <si>
    <t xml:space="preserve">original study data from 2014-2016</t>
  </si>
  <si>
    <t xml:space="preserve">Mean (SD): 56.1 (9.5)</t>
  </si>
  <si>
    <t xml:space="preserve">Kim et. al. (2022)</t>
  </si>
  <si>
    <t xml:space="preserve">South Korea</t>
  </si>
  <si>
    <t xml:space="preserve">KNHANES IV-VI (2007-2015)</t>
  </si>
  <si>
    <t xml:space="preserve">Mean (SD): 60.4 (0.1)</t>
  </si>
  <si>
    <t xml:space="preserve">Kwon et. al. (2024)</t>
  </si>
  <si>
    <t xml:space="preserve">KNHANES (2010-2019)</t>
  </si>
  <si>
    <t xml:space="preserve">Mean (SD): 56.2 (0.1)</t>
  </si>
  <si>
    <t xml:space="preserve">Lee et. al. (2020)</t>
  </si>
  <si>
    <t xml:space="preserve">Taiwan</t>
  </si>
  <si>
    <t xml:space="preserve">Mean (SD): 38.1 (8.2)</t>
  </si>
  <si>
    <t xml:space="preserve">Lim et. al. (2023)</t>
  </si>
  <si>
    <t xml:space="preserve">Kangbuk Samsung Health Study 2012-2018</t>
  </si>
  <si>
    <t xml:space="preserve">Mean (SD): 58.9 (6.7)</t>
  </si>
  <si>
    <t xml:space="preserve">Lin et. al. (2021)</t>
  </si>
  <si>
    <t xml:space="preserve">Mean (SD): 63.4 (14.8</t>
  </si>
  <si>
    <t xml:space="preserve">Mannino et. al. (2003a)</t>
  </si>
  <si>
    <t xml:space="preserve">NHANES I (1971-1975), follwed up till 1992 - only baseline characteristics were taken</t>
  </si>
  <si>
    <t xml:space="preserve">Mannino and Diaz-Guzman (2012)</t>
  </si>
  <si>
    <t xml:space="preserve">NHANES III 1988-1994</t>
  </si>
  <si>
    <t xml:space="preserve">Mannino et. al. (2003b)</t>
  </si>
  <si>
    <t xml:space="preserve">NHANES III 1988-1994 (phase 2 - 1991-94)</t>
  </si>
  <si>
    <t xml:space="preserve">Mean: 42.2</t>
  </si>
  <si>
    <t xml:space="preserve">Mannino et. al. (2012)</t>
  </si>
  <si>
    <t xml:space="preserve">Multiple locations</t>
  </si>
  <si>
    <t xml:space="preserve">MULTI</t>
  </si>
  <si>
    <t xml:space="preserve">mixed</t>
  </si>
  <si>
    <t xml:space="preserve">BOLD study</t>
  </si>
  <si>
    <t xml:space="preserve">Meghji et. al. (2016)</t>
  </si>
  <si>
    <t xml:space="preserve">Malawi</t>
  </si>
  <si>
    <t xml:space="preserve">AFR</t>
  </si>
  <si>
    <t xml:space="preserve">low</t>
  </si>
  <si>
    <t xml:space="preserve">Nonato et. al. (2015)</t>
  </si>
  <si>
    <t xml:space="preserve">PLATINO study</t>
  </si>
  <si>
    <t xml:space="preserve">Paek et. al. (2010)</t>
  </si>
  <si>
    <t xml:space="preserve">KNHANES 2001</t>
  </si>
  <si>
    <t xml:space="preserve">Pefura-Yone et. al. (2016)</t>
  </si>
  <si>
    <t xml:space="preserve">Cameroon</t>
  </si>
  <si>
    <t xml:space="preserve">lower-middle</t>
  </si>
  <si>
    <t xml:space="preserve">not mentioned</t>
  </si>
  <si>
    <t xml:space="preserve">Mean (SD): 33.7 (12.1)</t>
  </si>
  <si>
    <t xml:space="preserve">Perez-Padilla et. al. (2023)</t>
  </si>
  <si>
    <t xml:space="preserve">Schwartz et. al. (2021)</t>
  </si>
  <si>
    <t xml:space="preserve">original study - data from University of Iowa Hospital - 1997-2018</t>
  </si>
  <si>
    <t xml:space="preserve">Mean (SD) - 54.78 (16.84)</t>
  </si>
  <si>
    <t xml:space="preserve">Shiraishi et. al. (2022)</t>
  </si>
  <si>
    <t xml:space="preserve">Shu et. al. (2024)</t>
  </si>
  <si>
    <t xml:space="preserve">Siddharthan et. al. (2017)</t>
  </si>
  <si>
    <t xml:space="preserve">Peru</t>
  </si>
  <si>
    <t xml:space="preserve">upper-middle</t>
  </si>
  <si>
    <t xml:space="preserve">Mean (SD): 55.4 (12.4)</t>
  </si>
  <si>
    <t xml:space="preserve">Siddharthan et. al. (2019)</t>
  </si>
  <si>
    <t xml:space="preserve">Uganda</t>
  </si>
  <si>
    <t xml:space="preserve">Mean (SD): 46.9</t>
  </si>
  <si>
    <t xml:space="preserve">Sin et. al. (2023)</t>
  </si>
  <si>
    <t xml:space="preserve">KoGES (Korean Genome and Epidemiology Study) Ansan and Ansung study</t>
  </si>
  <si>
    <t xml:space="preserve">Mean (SD): 51.9 (8.6)</t>
  </si>
  <si>
    <t xml:space="preserve">Soriano et. al. (2012)</t>
  </si>
  <si>
    <t xml:space="preserve">Spain</t>
  </si>
  <si>
    <t xml:space="preserve">EPI-SCAN</t>
  </si>
  <si>
    <t xml:space="preserve">Mean (SD): 56.6 (10.7)</t>
  </si>
  <si>
    <t xml:space="preserve">Sperandio et. al. (2015)</t>
  </si>
  <si>
    <t xml:space="preserve">Brasil</t>
  </si>
  <si>
    <t xml:space="preserve">Epidemiological Study of Human Movement and Hypokinetic Diseases</t>
  </si>
  <si>
    <t xml:space="preserve">Mean (SD): 41 (14)</t>
  </si>
  <si>
    <t xml:space="preserve">Tanabe. et al. (2022)</t>
  </si>
  <si>
    <t xml:space="preserve">original - medical check up records</t>
  </si>
  <si>
    <t xml:space="preserve">Tran et. al. (2023)</t>
  </si>
  <si>
    <t xml:space="preserve">COPDGene</t>
  </si>
  <si>
    <t xml:space="preserve">Wan et. al. (2021)</t>
  </si>
  <si>
    <t xml:space="preserve">National Heart Lung and Blood Institute (NHLBI) Pooled Cohorts Study</t>
  </si>
  <si>
    <t xml:space="preserve">Mean (SD): 53.2 (15.8)</t>
  </si>
  <si>
    <t xml:space="preserve">Wan et. al. (2014)</t>
  </si>
  <si>
    <t xml:space="preserve">Mean (SD): 59.6</t>
  </si>
  <si>
    <t xml:space="preserve">Wang et. al. (2024)</t>
  </si>
  <si>
    <t xml:space="preserve">Median (IQR): 44 (32-56)</t>
  </si>
  <si>
    <t xml:space="preserve">Wijnant et. al. (2020)</t>
  </si>
  <si>
    <t xml:space="preserve">Netherlands</t>
  </si>
  <si>
    <t xml:space="preserve">Rotterdam Study phase 1 - 2009-2014</t>
  </si>
  <si>
    <t xml:space="preserve">Mean (SD): 68.8 (8.7)</t>
  </si>
  <si>
    <t xml:space="preserve">Zhang et. al. (2024)</t>
  </si>
  <si>
    <t xml:space="preserve">China</t>
  </si>
  <si>
    <t xml:space="preserve">Mean (SD): 49.21</t>
  </si>
  <si>
    <t xml:space="preserve">Zhou et. al. (2022)</t>
  </si>
  <si>
    <t xml:space="preserve">Wuhan-Zhuhai cohort</t>
  </si>
  <si>
    <t xml:space="preserve">Mean (SD): 52.5 (12.9)</t>
  </si>
  <si>
    <t xml:space="preserve">Zielinski et. al. (2005)</t>
  </si>
  <si>
    <t xml:space="preserve">Poland</t>
  </si>
  <si>
    <t xml:space="preserve">Mean (SD): 53.2 (11.5)</t>
  </si>
  <si>
    <t xml:space="preserve">Siddharthan et. al. (2024)</t>
  </si>
  <si>
    <t xml:space="preserve">Global Excellence in COPD outcomes (GECo study)</t>
  </si>
  <si>
    <t xml:space="preserve">Mean (SD): 56.3 (11.7)</t>
  </si>
  <si>
    <t xml:space="preserve">Kang et. al. (2024)</t>
  </si>
  <si>
    <t xml:space="preserve">Median (IQR): 57 (49-62)</t>
  </si>
  <si>
    <t xml:space="preserve">Toren et. al. (2024)</t>
  </si>
  <si>
    <t xml:space="preserve">Swedish CArdioPulmonary bioImage Study (SCAPIS)</t>
  </si>
  <si>
    <t xml:space="preserve">Mean (SD): 57.5 (4.3)</t>
  </si>
  <si>
    <t xml:space="preserve">Choi et. al. (2024)</t>
  </si>
  <si>
    <t xml:space="preserve">Xia et. al. (2025)</t>
  </si>
  <si>
    <t xml:space="preserve">Mean (SD): 46.44 (11)</t>
  </si>
  <si>
    <t xml:space="preserve">Zhou et. al. (2025)</t>
  </si>
  <si>
    <t xml:space="preserve">Australia</t>
  </si>
  <si>
    <t xml:space="preserve">Burden of Obstructive Lung Disease (BOLD) Australia</t>
  </si>
  <si>
    <t xml:space="preserve">Mean (SD): 58.5 (11.7)</t>
  </si>
  <si>
    <t xml:space="preserve">Cestelli et. al. (2025)</t>
  </si>
  <si>
    <t xml:space="preserve">Norway</t>
  </si>
  <si>
    <t xml:space="preserve">Pneumoconiosis Survey of Western Norway (PSWON)</t>
  </si>
  <si>
    <t xml:space="preserve">Mean (SD): 38.2 (4.3)</t>
  </si>
  <si>
    <t xml:space="preserve">Li et. al. (2025)</t>
  </si>
  <si>
    <t xml:space="preserve">Prospective Urban Rural Epidemiology (PURE) study</t>
  </si>
  <si>
    <t xml:space="preserve">Mean (SD): 51.1 (9.63)</t>
  </si>
  <si>
    <t xml:space="preserve">Qiao et. al. (2018)</t>
  </si>
  <si>
    <t xml:space="preserve">Mean (SD): 56.8 (12.5)</t>
  </si>
  <si>
    <t xml:space="preserve">Wang et. al. (2022)</t>
  </si>
  <si>
    <t xml:space="preserve">Mean (SD): 50.25 (14.53)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</si>
</sst>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H38" activePane="bottomRight" state="frozen"/>
      <selection pane="topLeft" activeCell="A1" activeCellId="0" sqref="A1"/>
      <selection pane="topRight" activeCell="H1" activeCellId="0" sqref="H1"/>
      <selection pane="bottomLeft" activeCell="A38" activeCellId="0" sqref="A38"/>
      <selection pane="bottomRight" activeCell="I66" activeCellId="0" sqref="I66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31.57"/>
    <col collapsed="false" customWidth="true" hidden="false" outlineLevel="0" max="5" min="5" style="0" width="12.42"/>
    <col collapsed="false" customWidth="true" hidden="false" outlineLevel="0" max="6" min="6" style="0" width="13"/>
    <col collapsed="false" customWidth="true" hidden="false" outlineLevel="0" max="7" min="7" style="0" width="77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 customFormat="false" ht="15" hidden="false" customHeight="false" outlineLevel="0" collapsed="false">
      <c r="A2" s="0" t="n">
        <v>65</v>
      </c>
      <c r="B2" s="0" t="n">
        <v>2016</v>
      </c>
      <c r="C2" s="0" t="s">
        <v>48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n">
        <v>726</v>
      </c>
      <c r="M2" s="0" t="n">
        <v>76</v>
      </c>
      <c r="O2" s="0" t="n">
        <v>53.5</v>
      </c>
      <c r="P2" s="0" t="n">
        <v>358</v>
      </c>
      <c r="Q2" s="0" t="n">
        <v>368</v>
      </c>
      <c r="R2" s="0" t="n">
        <v>49.31</v>
      </c>
      <c r="S2" s="0" t="n">
        <v>50.69</v>
      </c>
      <c r="T2" s="0" t="n">
        <v>375</v>
      </c>
      <c r="U2" s="0" t="n">
        <v>244</v>
      </c>
      <c r="V2" s="0" t="n">
        <v>97</v>
      </c>
      <c r="W2" s="0" t="n">
        <v>51.7</v>
      </c>
      <c r="X2" s="0" t="n">
        <v>33.6</v>
      </c>
      <c r="Y2" s="0" t="n">
        <v>13.4</v>
      </c>
      <c r="Z2" s="0" t="n">
        <v>76</v>
      </c>
      <c r="AA2" s="0" t="n">
        <v>43</v>
      </c>
      <c r="AB2" s="0" t="n">
        <v>33</v>
      </c>
      <c r="AF2" s="0" t="n">
        <v>10.47</v>
      </c>
      <c r="AG2" s="0" t="n">
        <v>12</v>
      </c>
      <c r="AH2" s="0" t="n">
        <v>9</v>
      </c>
      <c r="AL2" s="0" t="s">
        <v>57</v>
      </c>
      <c r="AM2" s="0" t="s">
        <v>57</v>
      </c>
      <c r="AN2" s="0" t="s">
        <v>58</v>
      </c>
      <c r="AO2" s="0" t="s">
        <v>57</v>
      </c>
      <c r="AP2" s="0" t="n">
        <v>0.1</v>
      </c>
      <c r="AQ2" s="0" t="n">
        <v>0.12</v>
      </c>
      <c r="AR2" s="0" t="n">
        <v>0.09</v>
      </c>
      <c r="AV2" s="0" t="n">
        <v>9</v>
      </c>
    </row>
    <row r="3" customFormat="false" ht="15" hidden="false" customHeight="false" outlineLevel="0" collapsed="false">
      <c r="A3" s="0" t="n">
        <v>65</v>
      </c>
      <c r="B3" s="0" t="n">
        <v>2016</v>
      </c>
      <c r="C3" s="0" t="s">
        <v>48</v>
      </c>
      <c r="D3" s="0" t="s">
        <v>49</v>
      </c>
      <c r="E3" s="0" t="s">
        <v>50</v>
      </c>
      <c r="F3" s="0" t="s">
        <v>51</v>
      </c>
      <c r="G3" s="0" t="s">
        <v>52</v>
      </c>
      <c r="H3" s="0" t="s">
        <v>59</v>
      </c>
      <c r="I3" s="0" t="s">
        <v>54</v>
      </c>
      <c r="J3" s="0" t="s">
        <v>55</v>
      </c>
      <c r="K3" s="0" t="s">
        <v>56</v>
      </c>
      <c r="L3" s="0" t="n">
        <v>726</v>
      </c>
      <c r="M3" s="0" t="n">
        <v>68</v>
      </c>
      <c r="P3" s="0" t="n">
        <v>358</v>
      </c>
      <c r="Q3" s="0" t="n">
        <v>368</v>
      </c>
      <c r="R3" s="0" t="n">
        <v>49.31</v>
      </c>
      <c r="S3" s="0" t="n">
        <v>50.69</v>
      </c>
      <c r="T3" s="0" t="n">
        <v>375</v>
      </c>
      <c r="U3" s="0" t="n">
        <v>244</v>
      </c>
      <c r="V3" s="0" t="n">
        <v>97</v>
      </c>
      <c r="W3" s="0" t="n">
        <v>51.7</v>
      </c>
      <c r="X3" s="0" t="n">
        <v>33.6</v>
      </c>
      <c r="Y3" s="0" t="n">
        <v>13.4</v>
      </c>
      <c r="Z3" s="0" t="n">
        <v>68</v>
      </c>
      <c r="AA3" s="0" t="n">
        <v>36</v>
      </c>
      <c r="AB3" s="0" t="n">
        <v>32</v>
      </c>
      <c r="AF3" s="0" t="n">
        <v>9.37</v>
      </c>
      <c r="AG3" s="0" t="n">
        <v>10.1</v>
      </c>
      <c r="AH3" s="0" t="n">
        <v>8.7</v>
      </c>
      <c r="AL3" s="0" t="s">
        <v>57</v>
      </c>
      <c r="AM3" s="0" t="s">
        <v>57</v>
      </c>
      <c r="AN3" s="0" t="s">
        <v>58</v>
      </c>
      <c r="AO3" s="0" t="s">
        <v>57</v>
      </c>
      <c r="AP3" s="0" t="n">
        <v>0.09</v>
      </c>
      <c r="AQ3" s="0" t="n">
        <v>0.1</v>
      </c>
      <c r="AR3" s="0" t="n">
        <v>0.09</v>
      </c>
      <c r="AV3" s="0" t="n">
        <v>9</v>
      </c>
    </row>
    <row r="4" customFormat="false" ht="15" hidden="false" customHeight="false" outlineLevel="0" collapsed="false">
      <c r="A4" s="0" t="n">
        <v>137</v>
      </c>
      <c r="B4" s="0" t="n">
        <v>2024</v>
      </c>
      <c r="C4" s="0" t="s">
        <v>60</v>
      </c>
      <c r="D4" s="0" t="s">
        <v>61</v>
      </c>
      <c r="E4" s="0" t="s">
        <v>62</v>
      </c>
      <c r="F4" s="0" t="s">
        <v>51</v>
      </c>
      <c r="G4" s="0" t="s">
        <v>63</v>
      </c>
      <c r="H4" s="0" t="s">
        <v>53</v>
      </c>
      <c r="I4" s="0" t="s">
        <v>64</v>
      </c>
      <c r="J4" s="0" t="s">
        <v>55</v>
      </c>
      <c r="K4" s="0" t="s">
        <v>56</v>
      </c>
      <c r="L4" s="0" t="n">
        <v>13328</v>
      </c>
      <c r="M4" s="0" t="n">
        <v>1862</v>
      </c>
      <c r="O4" s="0" t="n">
        <v>47.4</v>
      </c>
      <c r="P4" s="0" t="n">
        <v>6650</v>
      </c>
      <c r="Q4" s="0" t="n">
        <v>6678</v>
      </c>
      <c r="R4" s="0" t="n">
        <v>49.89</v>
      </c>
      <c r="S4" s="0" t="n">
        <v>50.11</v>
      </c>
      <c r="T4" s="0" t="n">
        <v>7299</v>
      </c>
      <c r="U4" s="0" t="n">
        <v>2999</v>
      </c>
      <c r="V4" s="0" t="n">
        <v>3030</v>
      </c>
      <c r="W4" s="0" t="n">
        <v>54.76</v>
      </c>
      <c r="X4" s="0" t="n">
        <v>22.5</v>
      </c>
      <c r="Y4" s="0" t="n">
        <v>22.73</v>
      </c>
      <c r="Z4" s="0" t="n">
        <v>1862</v>
      </c>
      <c r="AA4" s="0" t="n">
        <v>854</v>
      </c>
      <c r="AB4" s="0" t="n">
        <v>1008</v>
      </c>
      <c r="AC4" s="0" t="n">
        <v>1039</v>
      </c>
      <c r="AD4" s="0" t="n">
        <v>368</v>
      </c>
      <c r="AE4" s="0" t="n">
        <v>455</v>
      </c>
      <c r="AF4" s="0" t="n">
        <v>13.97</v>
      </c>
      <c r="AG4" s="0" t="n">
        <v>12.84</v>
      </c>
      <c r="AH4" s="0" t="n">
        <v>15.09</v>
      </c>
      <c r="AI4" s="0" t="n">
        <v>14.23</v>
      </c>
      <c r="AJ4" s="0" t="n">
        <v>12.27</v>
      </c>
      <c r="AK4" s="0" t="n">
        <v>15.02</v>
      </c>
      <c r="AL4" s="0" t="s">
        <v>57</v>
      </c>
      <c r="AM4" s="0" t="s">
        <v>57</v>
      </c>
      <c r="AN4" s="0" t="s">
        <v>57</v>
      </c>
      <c r="AO4" s="0" t="s">
        <v>57</v>
      </c>
      <c r="AP4" s="0" t="n">
        <v>0.14</v>
      </c>
      <c r="AQ4" s="0" t="n">
        <v>0.13</v>
      </c>
      <c r="AR4" s="0" t="n">
        <v>0.15</v>
      </c>
      <c r="AS4" s="0" t="n">
        <v>0.14</v>
      </c>
      <c r="AT4" s="0" t="n">
        <v>0.12</v>
      </c>
      <c r="AU4" s="0" t="n">
        <v>0.15</v>
      </c>
      <c r="AV4" s="0" t="n">
        <v>8</v>
      </c>
    </row>
    <row r="5" customFormat="false" ht="15" hidden="false" customHeight="false" outlineLevel="0" collapsed="false">
      <c r="A5" s="0" t="n">
        <v>147</v>
      </c>
      <c r="B5" s="0" t="n">
        <v>2019</v>
      </c>
      <c r="C5" s="0" t="s">
        <v>65</v>
      </c>
      <c r="D5" s="0" t="s">
        <v>66</v>
      </c>
      <c r="E5" s="0" t="s">
        <v>50</v>
      </c>
      <c r="F5" s="0" t="s">
        <v>51</v>
      </c>
      <c r="G5" s="0" t="s">
        <v>67</v>
      </c>
      <c r="H5" s="0" t="s">
        <v>59</v>
      </c>
      <c r="I5" s="0" t="s">
        <v>54</v>
      </c>
      <c r="J5" s="0" t="s">
        <v>56</v>
      </c>
      <c r="K5" s="0" t="s">
        <v>56</v>
      </c>
      <c r="L5" s="0" t="n">
        <v>8291</v>
      </c>
      <c r="M5" s="0" t="n">
        <v>423</v>
      </c>
      <c r="P5" s="0" t="n">
        <v>4617</v>
      </c>
      <c r="Q5" s="0" t="n">
        <v>3674</v>
      </c>
      <c r="R5" s="0" t="n">
        <v>55.69</v>
      </c>
      <c r="S5" s="0" t="n">
        <v>44.31</v>
      </c>
      <c r="T5" s="0" t="n">
        <v>3135</v>
      </c>
      <c r="U5" s="0" t="n">
        <v>2873</v>
      </c>
      <c r="V5" s="0" t="n">
        <v>1178</v>
      </c>
      <c r="W5" s="0" t="n">
        <v>37.81</v>
      </c>
      <c r="X5" s="0" t="n">
        <v>34.65</v>
      </c>
      <c r="Y5" s="0" t="n">
        <v>14.21</v>
      </c>
      <c r="Z5" s="0" t="n">
        <v>423</v>
      </c>
      <c r="AA5" s="0" t="n">
        <v>192</v>
      </c>
      <c r="AB5" s="0" t="n">
        <v>231</v>
      </c>
      <c r="AC5" s="0" t="n">
        <v>181</v>
      </c>
      <c r="AD5" s="0" t="n">
        <v>158</v>
      </c>
      <c r="AE5" s="0" t="n">
        <v>82</v>
      </c>
      <c r="AF5" s="0" t="n">
        <v>5.1</v>
      </c>
      <c r="AG5" s="0" t="n">
        <v>4.16</v>
      </c>
      <c r="AH5" s="0" t="n">
        <v>6.29</v>
      </c>
      <c r="AI5" s="0" t="n">
        <v>5.77</v>
      </c>
      <c r="AJ5" s="0" t="n">
        <v>5.5</v>
      </c>
      <c r="AK5" s="0" t="n">
        <v>6.96</v>
      </c>
      <c r="AL5" s="0" t="s">
        <v>57</v>
      </c>
      <c r="AM5" s="0" t="s">
        <v>57</v>
      </c>
      <c r="AN5" s="0" t="s">
        <v>57</v>
      </c>
      <c r="AO5" s="0" t="s">
        <v>57</v>
      </c>
      <c r="AP5" s="0" t="n">
        <v>0.05</v>
      </c>
      <c r="AQ5" s="0" t="n">
        <v>0.04</v>
      </c>
      <c r="AR5" s="0" t="n">
        <v>0.06</v>
      </c>
      <c r="AS5" s="0" t="n">
        <v>0.06</v>
      </c>
      <c r="AT5" s="0" t="n">
        <v>0.05</v>
      </c>
      <c r="AU5" s="0" t="n">
        <v>0.07</v>
      </c>
      <c r="AV5" s="0" t="n">
        <v>7</v>
      </c>
    </row>
    <row r="6" customFormat="false" ht="15" hidden="false" customHeight="false" outlineLevel="0" collapsed="false">
      <c r="A6" s="0" t="n">
        <v>255</v>
      </c>
      <c r="B6" s="0" t="n">
        <v>2022</v>
      </c>
      <c r="C6" s="0" t="s">
        <v>68</v>
      </c>
      <c r="D6" s="0" t="s">
        <v>61</v>
      </c>
      <c r="E6" s="0" t="s">
        <v>62</v>
      </c>
      <c r="F6" s="0" t="s">
        <v>51</v>
      </c>
      <c r="G6" s="0" t="s">
        <v>69</v>
      </c>
      <c r="H6" s="0" t="s">
        <v>53</v>
      </c>
      <c r="I6" s="0" t="s">
        <v>54</v>
      </c>
      <c r="J6" s="0" t="s">
        <v>55</v>
      </c>
      <c r="K6" s="0" t="s">
        <v>56</v>
      </c>
      <c r="L6" s="0" t="n">
        <v>1677</v>
      </c>
      <c r="M6" s="0" t="n">
        <v>229</v>
      </c>
      <c r="N6" s="0" t="s">
        <v>70</v>
      </c>
      <c r="O6" s="0" t="n">
        <v>55</v>
      </c>
      <c r="P6" s="0" t="n">
        <v>654</v>
      </c>
      <c r="Q6" s="0" t="n">
        <v>1023</v>
      </c>
      <c r="R6" s="0" t="n">
        <v>39</v>
      </c>
      <c r="S6" s="0" t="n">
        <v>61</v>
      </c>
      <c r="T6" s="0" t="n">
        <v>537</v>
      </c>
      <c r="U6" s="0" t="n">
        <v>503</v>
      </c>
      <c r="V6" s="0" t="n">
        <v>637</v>
      </c>
      <c r="W6" s="0" t="n">
        <v>32</v>
      </c>
      <c r="X6" s="0" t="n">
        <v>30</v>
      </c>
      <c r="Y6" s="0" t="n">
        <v>38</v>
      </c>
      <c r="Z6" s="0" t="n">
        <v>229</v>
      </c>
      <c r="AA6" s="0" t="n">
        <v>69</v>
      </c>
      <c r="AB6" s="0" t="n">
        <v>160</v>
      </c>
      <c r="AC6" s="0" t="n">
        <v>85</v>
      </c>
      <c r="AD6" s="0" t="n">
        <v>64</v>
      </c>
      <c r="AE6" s="0" t="n">
        <v>80</v>
      </c>
      <c r="AF6" s="0" t="n">
        <v>13.66</v>
      </c>
      <c r="AG6" s="0" t="n">
        <v>10.55</v>
      </c>
      <c r="AH6" s="0" t="n">
        <v>15.67</v>
      </c>
      <c r="AI6" s="0" t="n">
        <v>15.79</v>
      </c>
      <c r="AJ6" s="0" t="n">
        <v>12.74</v>
      </c>
      <c r="AK6" s="0" t="n">
        <v>12.58</v>
      </c>
      <c r="AL6" s="0" t="s">
        <v>57</v>
      </c>
      <c r="AM6" s="0" t="s">
        <v>57</v>
      </c>
      <c r="AN6" s="0" t="s">
        <v>57</v>
      </c>
      <c r="AO6" s="0" t="s">
        <v>57</v>
      </c>
      <c r="AP6" s="0" t="n">
        <v>0.14</v>
      </c>
      <c r="AQ6" s="0" t="n">
        <v>0.11</v>
      </c>
      <c r="AR6" s="0" t="n">
        <v>0.16</v>
      </c>
      <c r="AS6" s="0" t="n">
        <v>0.16</v>
      </c>
      <c r="AT6" s="0" t="n">
        <v>0.13</v>
      </c>
      <c r="AU6" s="0" t="n">
        <v>0.13</v>
      </c>
      <c r="AV6" s="0" t="n">
        <v>6</v>
      </c>
    </row>
    <row r="7" customFormat="false" ht="15" hidden="false" customHeight="false" outlineLevel="0" collapsed="false">
      <c r="A7" s="0" t="n">
        <v>284</v>
      </c>
      <c r="B7" s="0" t="n">
        <v>2013</v>
      </c>
      <c r="C7" s="0" t="s">
        <v>71</v>
      </c>
      <c r="D7" s="0" t="s">
        <v>49</v>
      </c>
      <c r="E7" s="0" t="s">
        <v>50</v>
      </c>
      <c r="F7" s="0" t="s">
        <v>51</v>
      </c>
      <c r="G7" s="0" t="s">
        <v>72</v>
      </c>
      <c r="H7" s="0" t="s">
        <v>53</v>
      </c>
      <c r="I7" s="0" t="s">
        <v>54</v>
      </c>
      <c r="J7" s="0" t="s">
        <v>55</v>
      </c>
      <c r="K7" s="0" t="s">
        <v>56</v>
      </c>
      <c r="L7" s="0" t="n">
        <v>642</v>
      </c>
      <c r="M7" s="0" t="n">
        <v>18</v>
      </c>
      <c r="N7" s="0" t="s">
        <v>73</v>
      </c>
      <c r="O7" s="0" t="n">
        <v>49</v>
      </c>
      <c r="P7" s="0" t="n">
        <v>321</v>
      </c>
      <c r="Q7" s="0" t="n">
        <v>321</v>
      </c>
      <c r="R7" s="0" t="n">
        <v>50</v>
      </c>
      <c r="S7" s="0" t="n">
        <v>50</v>
      </c>
      <c r="T7" s="0" t="n">
        <v>289</v>
      </c>
      <c r="U7" s="0" t="n">
        <v>182</v>
      </c>
      <c r="V7" s="0" t="n">
        <v>170</v>
      </c>
      <c r="W7" s="0" t="n">
        <v>45.02</v>
      </c>
      <c r="X7" s="0" t="n">
        <v>28.35</v>
      </c>
      <c r="Y7" s="0" t="n">
        <v>26.48</v>
      </c>
      <c r="Z7" s="0" t="n">
        <v>18</v>
      </c>
      <c r="AA7" s="0" t="n">
        <v>10</v>
      </c>
      <c r="AB7" s="0" t="n">
        <v>9</v>
      </c>
      <c r="AC7" s="0" t="n">
        <v>9</v>
      </c>
      <c r="AD7" s="0" t="n">
        <v>4</v>
      </c>
      <c r="AE7" s="0" t="n">
        <v>6</v>
      </c>
      <c r="AF7" s="0" t="n">
        <v>2.8</v>
      </c>
      <c r="AG7" s="0" t="n">
        <v>3.12</v>
      </c>
      <c r="AH7" s="0" t="n">
        <v>2.8</v>
      </c>
      <c r="AI7" s="0" t="n">
        <v>3.11</v>
      </c>
      <c r="AJ7" s="0" t="n">
        <v>2.2</v>
      </c>
      <c r="AK7" s="0" t="n">
        <v>3.53</v>
      </c>
      <c r="AL7" s="0" t="s">
        <v>57</v>
      </c>
      <c r="AM7" s="0" t="s">
        <v>57</v>
      </c>
      <c r="AN7" s="0" t="s">
        <v>57</v>
      </c>
      <c r="AO7" s="0" t="s">
        <v>57</v>
      </c>
      <c r="AP7" s="0" t="n">
        <v>0.03</v>
      </c>
      <c r="AQ7" s="0" t="n">
        <v>0.03</v>
      </c>
      <c r="AR7" s="0" t="n">
        <v>0.03</v>
      </c>
      <c r="AS7" s="0" t="n">
        <v>0.03</v>
      </c>
      <c r="AT7" s="0" t="n">
        <v>0.02</v>
      </c>
      <c r="AU7" s="0" t="n">
        <v>0.04</v>
      </c>
      <c r="AV7" s="0" t="n">
        <v>9</v>
      </c>
    </row>
    <row r="8" customFormat="false" ht="15" hidden="false" customHeight="false" outlineLevel="0" collapsed="false">
      <c r="A8" s="0" t="n">
        <v>297</v>
      </c>
      <c r="B8" s="0" t="n">
        <v>2007</v>
      </c>
      <c r="C8" s="0" t="s">
        <v>74</v>
      </c>
      <c r="D8" s="0" t="s">
        <v>75</v>
      </c>
      <c r="E8" s="0" t="s">
        <v>50</v>
      </c>
      <c r="F8" s="0" t="s">
        <v>51</v>
      </c>
      <c r="G8" s="0" t="s">
        <v>52</v>
      </c>
      <c r="H8" s="0" t="s">
        <v>53</v>
      </c>
      <c r="I8" s="0" t="s">
        <v>54</v>
      </c>
      <c r="J8" s="0" t="s">
        <v>55</v>
      </c>
      <c r="K8" s="0" t="s">
        <v>56</v>
      </c>
      <c r="L8" s="0" t="n">
        <v>159</v>
      </c>
      <c r="M8" s="0" t="n">
        <v>25</v>
      </c>
      <c r="N8" s="0" t="s">
        <v>76</v>
      </c>
      <c r="O8" s="0" t="n">
        <v>70.2</v>
      </c>
      <c r="P8" s="0" t="n">
        <v>72</v>
      </c>
      <c r="Q8" s="0" t="n">
        <v>87</v>
      </c>
      <c r="R8" s="0" t="n">
        <v>45.28</v>
      </c>
      <c r="S8" s="0" t="n">
        <v>54.72</v>
      </c>
      <c r="Z8" s="0" t="n">
        <v>25</v>
      </c>
      <c r="AA8" s="0" t="n">
        <v>7</v>
      </c>
      <c r="AB8" s="0" t="n">
        <v>18</v>
      </c>
      <c r="AF8" s="0" t="n">
        <v>15.72</v>
      </c>
      <c r="AG8" s="0" t="n">
        <v>9.72</v>
      </c>
      <c r="AH8" s="0" t="n">
        <v>20.69</v>
      </c>
      <c r="AL8" s="0" t="s">
        <v>57</v>
      </c>
      <c r="AM8" s="0" t="s">
        <v>57</v>
      </c>
      <c r="AN8" s="0" t="s">
        <v>58</v>
      </c>
      <c r="AO8" s="0" t="s">
        <v>57</v>
      </c>
      <c r="AP8" s="0" t="n">
        <v>0.16</v>
      </c>
      <c r="AQ8" s="0" t="n">
        <v>0.1</v>
      </c>
      <c r="AR8" s="0" t="n">
        <v>0.21</v>
      </c>
      <c r="AV8" s="0" t="n">
        <v>6</v>
      </c>
    </row>
    <row r="9" customFormat="false" ht="15" hidden="false" customHeight="false" outlineLevel="0" collapsed="false">
      <c r="A9" s="0" t="n">
        <v>303</v>
      </c>
      <c r="B9" s="0" t="n">
        <v>2014</v>
      </c>
      <c r="C9" s="0" t="s">
        <v>77</v>
      </c>
      <c r="D9" s="0" t="s">
        <v>61</v>
      </c>
      <c r="E9" s="0" t="s">
        <v>62</v>
      </c>
      <c r="F9" s="0" t="s">
        <v>51</v>
      </c>
      <c r="G9" s="0" t="s">
        <v>78</v>
      </c>
      <c r="H9" s="0" t="s">
        <v>53</v>
      </c>
      <c r="I9" s="0" t="s">
        <v>54</v>
      </c>
      <c r="J9" s="0" t="s">
        <v>55</v>
      </c>
      <c r="K9" s="0" t="s">
        <v>56</v>
      </c>
      <c r="L9" s="0" t="n">
        <v>3109</v>
      </c>
      <c r="M9" s="0" t="n">
        <v>187</v>
      </c>
      <c r="N9" s="0" t="s">
        <v>79</v>
      </c>
      <c r="O9" s="0" t="n">
        <v>41.9</v>
      </c>
      <c r="P9" s="0" t="n">
        <v>1579</v>
      </c>
      <c r="Q9" s="0" t="n">
        <v>1530</v>
      </c>
      <c r="R9" s="0" t="n">
        <v>50.8</v>
      </c>
      <c r="S9" s="0" t="n">
        <v>49.2</v>
      </c>
      <c r="Z9" s="0" t="n">
        <v>187</v>
      </c>
      <c r="AA9" s="0" t="n">
        <v>120</v>
      </c>
      <c r="AB9" s="0" t="n">
        <v>67</v>
      </c>
      <c r="AF9" s="0" t="n">
        <v>6</v>
      </c>
      <c r="AG9" s="0" t="n">
        <v>7.61</v>
      </c>
      <c r="AH9" s="0" t="n">
        <v>4.38</v>
      </c>
      <c r="AL9" s="0" t="s">
        <v>57</v>
      </c>
      <c r="AM9" s="0" t="s">
        <v>57</v>
      </c>
      <c r="AN9" s="0" t="s">
        <v>58</v>
      </c>
      <c r="AO9" s="0" t="s">
        <v>58</v>
      </c>
      <c r="AP9" s="0" t="n">
        <v>0.06</v>
      </c>
      <c r="AQ9" s="0" t="n">
        <v>0.08</v>
      </c>
      <c r="AR9" s="0" t="n">
        <v>0.04</v>
      </c>
      <c r="AV9" s="0" t="n">
        <v>9</v>
      </c>
    </row>
    <row r="10" customFormat="false" ht="15" hidden="false" customHeight="false" outlineLevel="0" collapsed="false">
      <c r="A10" s="0" t="n">
        <v>309</v>
      </c>
      <c r="B10" s="0" t="n">
        <v>2011</v>
      </c>
      <c r="C10" s="0" t="s">
        <v>80</v>
      </c>
      <c r="D10" s="0" t="s">
        <v>61</v>
      </c>
      <c r="E10" s="0" t="s">
        <v>62</v>
      </c>
      <c r="F10" s="0" t="s">
        <v>51</v>
      </c>
      <c r="G10" s="0" t="s">
        <v>81</v>
      </c>
      <c r="H10" s="0" t="s">
        <v>53</v>
      </c>
      <c r="I10" s="0" t="s">
        <v>54</v>
      </c>
      <c r="J10" s="0" t="s">
        <v>55</v>
      </c>
      <c r="K10" s="0" t="s">
        <v>56</v>
      </c>
      <c r="L10" s="0" t="n">
        <v>5080</v>
      </c>
      <c r="M10" s="0" t="n">
        <v>563</v>
      </c>
      <c r="N10" s="0" t="s">
        <v>82</v>
      </c>
      <c r="O10" s="0" t="n">
        <v>72.5</v>
      </c>
      <c r="P10" s="0" t="n">
        <v>2238</v>
      </c>
      <c r="Q10" s="0" t="n">
        <v>2842</v>
      </c>
      <c r="R10" s="0" t="n">
        <v>44.1</v>
      </c>
      <c r="S10" s="0" t="n">
        <v>55.9</v>
      </c>
      <c r="T10" s="0" t="n">
        <v>2237</v>
      </c>
      <c r="U10" s="0" t="n">
        <v>2220</v>
      </c>
      <c r="V10" s="0" t="n">
        <v>238</v>
      </c>
      <c r="W10" s="0" t="n">
        <v>44.04</v>
      </c>
      <c r="X10" s="0" t="n">
        <v>43.7</v>
      </c>
      <c r="Y10" s="0" t="n">
        <v>4.69</v>
      </c>
      <c r="Z10" s="0" t="n">
        <v>563</v>
      </c>
      <c r="AF10" s="0" t="n">
        <v>11.08</v>
      </c>
      <c r="AL10" s="0" t="s">
        <v>57</v>
      </c>
      <c r="AM10" s="0" t="s">
        <v>58</v>
      </c>
      <c r="AN10" s="0" t="s">
        <v>58</v>
      </c>
      <c r="AO10" s="0" t="s">
        <v>57</v>
      </c>
      <c r="AP10" s="0" t="n">
        <v>0.11</v>
      </c>
      <c r="AV10" s="0" t="n">
        <v>9</v>
      </c>
    </row>
    <row r="11" customFormat="false" ht="15" hidden="false" customHeight="false" outlineLevel="0" collapsed="false">
      <c r="A11" s="0" t="n">
        <v>309</v>
      </c>
      <c r="B11" s="0" t="n">
        <v>2011</v>
      </c>
      <c r="C11" s="0" t="s">
        <v>80</v>
      </c>
      <c r="D11" s="0" t="s">
        <v>61</v>
      </c>
      <c r="E11" s="0" t="s">
        <v>62</v>
      </c>
      <c r="F11" s="0" t="s">
        <v>51</v>
      </c>
      <c r="G11" s="0" t="s">
        <v>81</v>
      </c>
      <c r="H11" s="0" t="s">
        <v>59</v>
      </c>
      <c r="I11" s="0" t="s">
        <v>54</v>
      </c>
      <c r="J11" s="0" t="s">
        <v>55</v>
      </c>
      <c r="K11" s="0" t="s">
        <v>56</v>
      </c>
      <c r="L11" s="0" t="n">
        <v>5080</v>
      </c>
      <c r="M11" s="0" t="n">
        <v>475</v>
      </c>
      <c r="N11" s="0" t="s">
        <v>82</v>
      </c>
      <c r="O11" s="0" t="n">
        <v>72.5</v>
      </c>
      <c r="P11" s="0" t="n">
        <v>2238</v>
      </c>
      <c r="Q11" s="0" t="n">
        <v>2842</v>
      </c>
      <c r="R11" s="0" t="n">
        <v>44.1</v>
      </c>
      <c r="S11" s="0" t="n">
        <v>55.9</v>
      </c>
      <c r="T11" s="0" t="n">
        <v>2237</v>
      </c>
      <c r="U11" s="0" t="n">
        <v>2220</v>
      </c>
      <c r="V11" s="0" t="n">
        <v>238</v>
      </c>
      <c r="W11" s="0" t="n">
        <v>44.04</v>
      </c>
      <c r="X11" s="0" t="n">
        <v>43.7</v>
      </c>
      <c r="Y11" s="0" t="n">
        <v>4.69</v>
      </c>
      <c r="Z11" s="0" t="n">
        <v>475</v>
      </c>
      <c r="AF11" s="0" t="n">
        <v>9.35</v>
      </c>
      <c r="AL11" s="0" t="s">
        <v>57</v>
      </c>
      <c r="AM11" s="0" t="s">
        <v>58</v>
      </c>
      <c r="AN11" s="0" t="s">
        <v>58</v>
      </c>
      <c r="AO11" s="0" t="s">
        <v>57</v>
      </c>
      <c r="AP11" s="0" t="n">
        <v>0.09</v>
      </c>
      <c r="AV11" s="0" t="n">
        <v>9</v>
      </c>
    </row>
    <row r="12" customFormat="false" ht="15" hidden="false" customHeight="false" outlineLevel="0" collapsed="false">
      <c r="A12" s="0" t="n">
        <v>351</v>
      </c>
      <c r="B12" s="0" t="n">
        <v>2017</v>
      </c>
      <c r="C12" s="0" t="s">
        <v>83</v>
      </c>
      <c r="D12" s="0" t="s">
        <v>66</v>
      </c>
      <c r="E12" s="0" t="s">
        <v>50</v>
      </c>
      <c r="F12" s="0" t="s">
        <v>51</v>
      </c>
      <c r="G12" s="0" t="s">
        <v>84</v>
      </c>
      <c r="H12" s="0" t="s">
        <v>59</v>
      </c>
      <c r="I12" s="0" t="s">
        <v>54</v>
      </c>
      <c r="J12" s="0" t="s">
        <v>55</v>
      </c>
      <c r="K12" s="0" t="s">
        <v>56</v>
      </c>
      <c r="L12" s="0" t="n">
        <v>12767</v>
      </c>
      <c r="M12" s="0" t="n">
        <v>554</v>
      </c>
      <c r="P12" s="0" t="n">
        <v>6179</v>
      </c>
      <c r="Q12" s="0" t="n">
        <v>6588</v>
      </c>
      <c r="R12" s="0" t="n">
        <v>48.4</v>
      </c>
      <c r="S12" s="0" t="n">
        <v>51.6</v>
      </c>
      <c r="T12" s="0" t="n">
        <v>5417</v>
      </c>
      <c r="U12" s="0" t="n">
        <v>3542</v>
      </c>
      <c r="V12" s="0" t="n">
        <v>3117</v>
      </c>
      <c r="W12" s="0" t="n">
        <v>42.43</v>
      </c>
      <c r="X12" s="0" t="n">
        <v>27.74</v>
      </c>
      <c r="Y12" s="0" t="n">
        <v>24.41</v>
      </c>
      <c r="Z12" s="0" t="n">
        <v>554</v>
      </c>
      <c r="AA12" s="0" t="n">
        <v>301</v>
      </c>
      <c r="AB12" s="0" t="n">
        <v>253</v>
      </c>
      <c r="AC12" s="0" t="n">
        <v>234</v>
      </c>
      <c r="AD12" s="0" t="n">
        <v>128</v>
      </c>
      <c r="AE12" s="0" t="n">
        <v>161</v>
      </c>
      <c r="AF12" s="0" t="n">
        <v>4.34</v>
      </c>
      <c r="AG12" s="0" t="n">
        <v>4.87</v>
      </c>
      <c r="AH12" s="0" t="n">
        <v>3.84</v>
      </c>
      <c r="AI12" s="0" t="n">
        <v>4.32</v>
      </c>
      <c r="AJ12" s="0" t="n">
        <v>3.61</v>
      </c>
      <c r="AK12" s="0" t="n">
        <v>5.17</v>
      </c>
      <c r="AL12" s="0" t="s">
        <v>57</v>
      </c>
      <c r="AM12" s="0" t="s">
        <v>57</v>
      </c>
      <c r="AN12" s="0" t="s">
        <v>57</v>
      </c>
      <c r="AO12" s="0" t="s">
        <v>57</v>
      </c>
      <c r="AP12" s="0" t="n">
        <v>0.04</v>
      </c>
      <c r="AQ12" s="0" t="n">
        <v>0.05</v>
      </c>
      <c r="AR12" s="0" t="n">
        <v>0.04</v>
      </c>
      <c r="AS12" s="0" t="n">
        <v>0.04</v>
      </c>
      <c r="AT12" s="0" t="n">
        <v>0.04</v>
      </c>
      <c r="AU12" s="0" t="n">
        <v>0.05</v>
      </c>
      <c r="AV12" s="0" t="n">
        <v>9</v>
      </c>
    </row>
    <row r="13" customFormat="false" ht="15" hidden="false" customHeight="false" outlineLevel="0" collapsed="false">
      <c r="A13" s="0" t="n">
        <v>352</v>
      </c>
      <c r="B13" s="0" t="n">
        <v>2010</v>
      </c>
      <c r="C13" s="0" t="s">
        <v>85</v>
      </c>
      <c r="D13" s="0" t="s">
        <v>61</v>
      </c>
      <c r="E13" s="0" t="s">
        <v>62</v>
      </c>
      <c r="F13" s="0" t="s">
        <v>51</v>
      </c>
      <c r="G13" s="0" t="s">
        <v>86</v>
      </c>
      <c r="H13" s="0" t="s">
        <v>53</v>
      </c>
      <c r="I13" s="0" t="s">
        <v>54</v>
      </c>
      <c r="J13" s="0" t="s">
        <v>55</v>
      </c>
      <c r="K13" s="0" t="s">
        <v>56</v>
      </c>
      <c r="L13" s="0" t="n">
        <v>2048</v>
      </c>
      <c r="M13" s="0" t="n">
        <v>249</v>
      </c>
      <c r="O13" s="0" t="n">
        <v>49.7</v>
      </c>
      <c r="P13" s="0" t="n">
        <v>739</v>
      </c>
      <c r="Q13" s="0" t="n">
        <v>1309</v>
      </c>
      <c r="R13" s="0" t="n">
        <v>36.1</v>
      </c>
      <c r="S13" s="0" t="n">
        <v>63.9</v>
      </c>
      <c r="V13" s="0" t="n">
        <v>2046</v>
      </c>
      <c r="Y13" s="0" t="n">
        <v>99.9</v>
      </c>
      <c r="Z13" s="0" t="n">
        <v>249</v>
      </c>
      <c r="AA13" s="0" t="n">
        <v>82</v>
      </c>
      <c r="AB13" s="0" t="n">
        <v>167</v>
      </c>
      <c r="AE13" s="0" t="n">
        <v>126</v>
      </c>
      <c r="AF13" s="0" t="n">
        <v>12.16</v>
      </c>
      <c r="AG13" s="0" t="n">
        <v>11.1</v>
      </c>
      <c r="AH13" s="0" t="n">
        <v>12.77</v>
      </c>
      <c r="AK13" s="0" t="n">
        <v>6.16</v>
      </c>
      <c r="AL13" s="0" t="s">
        <v>57</v>
      </c>
      <c r="AM13" s="0" t="s">
        <v>57</v>
      </c>
      <c r="AN13" s="0" t="s">
        <v>57</v>
      </c>
      <c r="AO13" s="0" t="s">
        <v>57</v>
      </c>
      <c r="AP13" s="0" t="n">
        <v>0.12</v>
      </c>
      <c r="AQ13" s="0" t="n">
        <v>0.11</v>
      </c>
      <c r="AR13" s="0" t="n">
        <v>0.13</v>
      </c>
      <c r="AU13" s="0" t="n">
        <v>0.06</v>
      </c>
      <c r="AV13" s="0" t="n">
        <v>8</v>
      </c>
    </row>
    <row r="14" customFormat="false" ht="15" hidden="false" customHeight="false" outlineLevel="0" collapsed="false">
      <c r="A14" s="0" t="n">
        <v>389</v>
      </c>
      <c r="B14" s="0" t="n">
        <v>2022</v>
      </c>
      <c r="C14" s="0" t="s">
        <v>87</v>
      </c>
      <c r="D14" s="0" t="s">
        <v>88</v>
      </c>
      <c r="E14" s="0" t="s">
        <v>50</v>
      </c>
      <c r="F14" s="0" t="s">
        <v>51</v>
      </c>
      <c r="G14" s="0" t="s">
        <v>89</v>
      </c>
      <c r="H14" s="0" t="s">
        <v>53</v>
      </c>
      <c r="I14" s="0" t="s">
        <v>64</v>
      </c>
      <c r="J14" s="0" t="s">
        <v>55</v>
      </c>
      <c r="K14" s="0" t="s">
        <v>56</v>
      </c>
      <c r="L14" s="0" t="n">
        <v>351874</v>
      </c>
      <c r="M14" s="0" t="n">
        <v>38639</v>
      </c>
      <c r="N14" s="0" t="s">
        <v>90</v>
      </c>
      <c r="O14" s="0" t="n">
        <v>56</v>
      </c>
      <c r="P14" s="0" t="n">
        <v>162627</v>
      </c>
      <c r="Q14" s="0" t="n">
        <v>189247</v>
      </c>
      <c r="R14" s="0" t="n">
        <v>46.2</v>
      </c>
      <c r="S14" s="0" t="n">
        <v>53.8</v>
      </c>
      <c r="T14" s="0" t="n">
        <v>188696</v>
      </c>
      <c r="U14" s="0" t="n">
        <v>127269</v>
      </c>
      <c r="V14" s="0" t="n">
        <v>35909</v>
      </c>
      <c r="W14" s="0" t="n">
        <v>53.63</v>
      </c>
      <c r="X14" s="0" t="n">
        <v>36.17</v>
      </c>
      <c r="Y14" s="0" t="n">
        <v>10.21</v>
      </c>
      <c r="Z14" s="0" t="n">
        <v>38639</v>
      </c>
      <c r="AA14" s="0" t="n">
        <v>17251</v>
      </c>
      <c r="AB14" s="0" t="n">
        <v>21388</v>
      </c>
      <c r="AC14" s="0" t="n">
        <v>19777</v>
      </c>
      <c r="AD14" s="0" t="n">
        <v>14075</v>
      </c>
      <c r="AE14" s="0" t="n">
        <v>4787</v>
      </c>
      <c r="AF14" s="0" t="n">
        <v>10.98</v>
      </c>
      <c r="AG14" s="0" t="n">
        <v>10.61</v>
      </c>
      <c r="AH14" s="0" t="n">
        <v>11.3</v>
      </c>
      <c r="AI14" s="0" t="n">
        <v>10.48</v>
      </c>
      <c r="AJ14" s="0" t="n">
        <v>11.06</v>
      </c>
      <c r="AK14" s="0" t="n">
        <v>13.33</v>
      </c>
      <c r="AL14" s="0" t="s">
        <v>58</v>
      </c>
      <c r="AM14" s="0" t="s">
        <v>57</v>
      </c>
      <c r="AN14" s="0" t="s">
        <v>58</v>
      </c>
      <c r="AO14" s="0" t="s">
        <v>58</v>
      </c>
      <c r="AP14" s="0" t="n">
        <v>0.11</v>
      </c>
      <c r="AQ14" s="0" t="n">
        <v>0.11</v>
      </c>
      <c r="AR14" s="0" t="n">
        <v>0.11</v>
      </c>
      <c r="AS14" s="0" t="n">
        <v>0.1</v>
      </c>
      <c r="AT14" s="0" t="n">
        <v>0.11</v>
      </c>
      <c r="AU14" s="0" t="n">
        <v>0.13</v>
      </c>
      <c r="AV14" s="0" t="n">
        <v>9</v>
      </c>
    </row>
    <row r="15" customFormat="false" ht="15" hidden="false" customHeight="false" outlineLevel="0" collapsed="false">
      <c r="A15" s="0" t="n">
        <v>436</v>
      </c>
      <c r="B15" s="0" t="n">
        <v>2021</v>
      </c>
      <c r="C15" s="0" t="s">
        <v>91</v>
      </c>
      <c r="D15" s="0" t="s">
        <v>92</v>
      </c>
      <c r="E15" s="0" t="s">
        <v>62</v>
      </c>
      <c r="F15" s="0" t="s">
        <v>51</v>
      </c>
      <c r="G15" s="0" t="s">
        <v>93</v>
      </c>
      <c r="H15" s="0" t="s">
        <v>59</v>
      </c>
      <c r="I15" s="0" t="s">
        <v>54</v>
      </c>
      <c r="J15" s="0" t="s">
        <v>55</v>
      </c>
      <c r="K15" s="0" t="s">
        <v>56</v>
      </c>
      <c r="L15" s="0" t="n">
        <v>44816</v>
      </c>
      <c r="M15" s="0" t="n">
        <v>3496</v>
      </c>
      <c r="P15" s="0" t="n">
        <v>21879</v>
      </c>
      <c r="Q15" s="0" t="n">
        <v>22937</v>
      </c>
      <c r="R15" s="0" t="n">
        <v>48.8</v>
      </c>
      <c r="S15" s="0" t="n">
        <v>51.2</v>
      </c>
      <c r="Z15" s="0" t="n">
        <v>3496</v>
      </c>
      <c r="AF15" s="0" t="n">
        <v>7.8</v>
      </c>
      <c r="AL15" s="0" t="s">
        <v>57</v>
      </c>
      <c r="AM15" s="0" t="s">
        <v>58</v>
      </c>
      <c r="AN15" s="0" t="s">
        <v>58</v>
      </c>
      <c r="AO15" s="0" t="s">
        <v>57</v>
      </c>
      <c r="AP15" s="0" t="n">
        <v>0.08</v>
      </c>
      <c r="AV15" s="0" t="n">
        <v>9</v>
      </c>
    </row>
    <row r="16" customFormat="false" ht="15" hidden="false" customHeight="false" outlineLevel="0" collapsed="false">
      <c r="A16" s="0" t="n">
        <v>439</v>
      </c>
      <c r="B16" s="0" t="n">
        <v>2022</v>
      </c>
      <c r="C16" s="0" t="s">
        <v>94</v>
      </c>
      <c r="D16" s="0" t="s">
        <v>95</v>
      </c>
      <c r="E16" s="0" t="s">
        <v>50</v>
      </c>
      <c r="F16" s="0" t="s">
        <v>51</v>
      </c>
      <c r="G16" s="0" t="s">
        <v>96</v>
      </c>
      <c r="H16" s="0" t="s">
        <v>53</v>
      </c>
      <c r="I16" s="0" t="s">
        <v>64</v>
      </c>
      <c r="J16" s="0" t="s">
        <v>55</v>
      </c>
      <c r="K16" s="0" t="s">
        <v>56</v>
      </c>
      <c r="L16" s="0" t="n">
        <v>1987</v>
      </c>
      <c r="O16" s="0" t="n">
        <v>56.4</v>
      </c>
      <c r="P16" s="0" t="n">
        <v>1289</v>
      </c>
      <c r="Q16" s="0" t="n">
        <v>698</v>
      </c>
      <c r="R16" s="0" t="n">
        <v>64.87</v>
      </c>
      <c r="S16" s="0" t="n">
        <v>35.13</v>
      </c>
      <c r="U16" s="0" t="n">
        <v>768</v>
      </c>
      <c r="V16" s="0" t="n">
        <v>1219</v>
      </c>
      <c r="X16" s="0" t="n">
        <v>38.65</v>
      </c>
      <c r="Y16" s="0" t="n">
        <v>61.35</v>
      </c>
      <c r="AD16" s="0" t="n">
        <v>110</v>
      </c>
      <c r="AE16" s="0" t="n">
        <v>201</v>
      </c>
      <c r="AJ16" s="0" t="n">
        <v>14.32</v>
      </c>
      <c r="AK16" s="0" t="n">
        <v>16.49</v>
      </c>
      <c r="AL16" s="0" t="s">
        <v>58</v>
      </c>
      <c r="AM16" s="0" t="s">
        <v>58</v>
      </c>
      <c r="AN16" s="0" t="s">
        <v>57</v>
      </c>
      <c r="AO16" s="0" t="s">
        <v>58</v>
      </c>
      <c r="AT16" s="0" t="n">
        <v>0.14</v>
      </c>
      <c r="AU16" s="0" t="n">
        <v>0.16</v>
      </c>
      <c r="AV16" s="0" t="n">
        <v>8</v>
      </c>
    </row>
    <row r="17" customFormat="false" ht="15" hidden="false" customHeight="false" outlineLevel="0" collapsed="false">
      <c r="A17" s="0" t="n">
        <v>441</v>
      </c>
      <c r="B17" s="0" t="n">
        <v>2021</v>
      </c>
      <c r="C17" s="0" t="s">
        <v>97</v>
      </c>
      <c r="D17" s="0" t="s">
        <v>98</v>
      </c>
      <c r="E17" s="0" t="s">
        <v>99</v>
      </c>
      <c r="F17" s="0" t="s">
        <v>51</v>
      </c>
      <c r="G17" s="0" t="s">
        <v>100</v>
      </c>
      <c r="H17" s="0" t="s">
        <v>53</v>
      </c>
      <c r="I17" s="0" t="s">
        <v>64</v>
      </c>
      <c r="J17" s="0" t="s">
        <v>55</v>
      </c>
      <c r="K17" s="0" t="s">
        <v>56</v>
      </c>
      <c r="L17" s="0" t="n">
        <v>2518</v>
      </c>
      <c r="M17" s="0" t="n">
        <v>420</v>
      </c>
      <c r="N17" s="0" t="s">
        <v>101</v>
      </c>
      <c r="O17" s="0" t="n">
        <v>52</v>
      </c>
      <c r="P17" s="0" t="n">
        <v>1387</v>
      </c>
      <c r="Q17" s="0" t="n">
        <v>1131</v>
      </c>
      <c r="R17" s="0" t="n">
        <v>55.08</v>
      </c>
      <c r="S17" s="0" t="n">
        <v>44.92</v>
      </c>
      <c r="T17" s="0" t="n">
        <v>1137</v>
      </c>
      <c r="U17" s="0" t="n">
        <v>756</v>
      </c>
      <c r="V17" s="0" t="n">
        <v>624</v>
      </c>
      <c r="W17" s="0" t="n">
        <v>45.15</v>
      </c>
      <c r="X17" s="0" t="n">
        <v>30.02</v>
      </c>
      <c r="Y17" s="0" t="n">
        <v>24.78</v>
      </c>
      <c r="Z17" s="0" t="n">
        <v>420</v>
      </c>
      <c r="AA17" s="0" t="n">
        <v>296</v>
      </c>
      <c r="AB17" s="0" t="n">
        <v>124</v>
      </c>
      <c r="AC17" s="0" t="n">
        <v>178</v>
      </c>
      <c r="AD17" s="0" t="n">
        <v>109</v>
      </c>
      <c r="AE17" s="0" t="n">
        <v>133</v>
      </c>
      <c r="AF17" s="0" t="n">
        <v>16.68</v>
      </c>
      <c r="AG17" s="0" t="n">
        <v>21.34</v>
      </c>
      <c r="AH17" s="0" t="n">
        <v>10.96</v>
      </c>
      <c r="AI17" s="0" t="n">
        <v>15.66</v>
      </c>
      <c r="AJ17" s="0" t="n">
        <v>14.42</v>
      </c>
      <c r="AK17" s="0" t="n">
        <v>21.31</v>
      </c>
      <c r="AL17" s="0" t="s">
        <v>57</v>
      </c>
      <c r="AM17" s="0" t="s">
        <v>57</v>
      </c>
      <c r="AN17" s="0" t="s">
        <v>57</v>
      </c>
      <c r="AO17" s="0" t="s">
        <v>57</v>
      </c>
      <c r="AP17" s="0" t="n">
        <v>0.17</v>
      </c>
      <c r="AQ17" s="0" t="n">
        <v>0.21</v>
      </c>
      <c r="AR17" s="0" t="n">
        <v>0.11</v>
      </c>
      <c r="AS17" s="0" t="n">
        <v>0.16</v>
      </c>
      <c r="AT17" s="0" t="n">
        <v>0.14</v>
      </c>
      <c r="AU17" s="0" t="n">
        <v>0.21</v>
      </c>
      <c r="AV17" s="0" t="n">
        <v>6</v>
      </c>
    </row>
    <row r="18" customFormat="false" ht="15" hidden="false" customHeight="false" outlineLevel="0" collapsed="false">
      <c r="A18" s="0" t="n">
        <v>448</v>
      </c>
      <c r="B18" s="0" t="n">
        <v>2022</v>
      </c>
      <c r="C18" s="0" t="s">
        <v>102</v>
      </c>
      <c r="D18" s="0" t="s">
        <v>98</v>
      </c>
      <c r="E18" s="0" t="s">
        <v>99</v>
      </c>
      <c r="F18" s="0" t="s">
        <v>51</v>
      </c>
      <c r="G18" s="0" t="s">
        <v>103</v>
      </c>
      <c r="H18" s="0" t="s">
        <v>59</v>
      </c>
      <c r="I18" s="0" t="s">
        <v>64</v>
      </c>
      <c r="J18" s="0" t="s">
        <v>55</v>
      </c>
      <c r="K18" s="0" t="s">
        <v>56</v>
      </c>
      <c r="L18" s="0" t="n">
        <v>1672</v>
      </c>
      <c r="M18" s="0" t="n">
        <v>176</v>
      </c>
      <c r="N18" s="0" t="s">
        <v>104</v>
      </c>
      <c r="O18" s="0" t="n">
        <v>56.1</v>
      </c>
      <c r="P18" s="0" t="n">
        <v>976</v>
      </c>
      <c r="Q18" s="0" t="n">
        <v>696</v>
      </c>
      <c r="R18" s="0" t="n">
        <v>58.37</v>
      </c>
      <c r="S18" s="0" t="n">
        <v>41.63</v>
      </c>
      <c r="T18" s="0" t="n">
        <v>930</v>
      </c>
      <c r="U18" s="0" t="n">
        <v>470</v>
      </c>
      <c r="V18" s="0" t="n">
        <v>272</v>
      </c>
      <c r="W18" s="0" t="n">
        <v>55.62</v>
      </c>
      <c r="X18" s="0" t="n">
        <v>28.11</v>
      </c>
      <c r="Y18" s="0" t="n">
        <v>16.27</v>
      </c>
      <c r="Z18" s="0" t="n">
        <v>176</v>
      </c>
      <c r="AA18" s="0" t="n">
        <v>112</v>
      </c>
      <c r="AB18" s="0" t="n">
        <v>64</v>
      </c>
      <c r="AC18" s="0" t="n">
        <v>81</v>
      </c>
      <c r="AD18" s="0" t="n">
        <v>53</v>
      </c>
      <c r="AE18" s="0" t="n">
        <v>42</v>
      </c>
      <c r="AF18" s="0" t="n">
        <v>10.53</v>
      </c>
      <c r="AG18" s="0" t="n">
        <v>11.48</v>
      </c>
      <c r="AH18" s="0" t="n">
        <v>9.2</v>
      </c>
      <c r="AI18" s="0" t="n">
        <v>8.71</v>
      </c>
      <c r="AJ18" s="0" t="n">
        <v>11.28</v>
      </c>
      <c r="AK18" s="0" t="n">
        <v>15.44</v>
      </c>
      <c r="AL18" s="0" t="s">
        <v>57</v>
      </c>
      <c r="AM18" s="0" t="s">
        <v>57</v>
      </c>
      <c r="AN18" s="0" t="s">
        <v>57</v>
      </c>
      <c r="AO18" s="0" t="s">
        <v>57</v>
      </c>
      <c r="AP18" s="0" t="n">
        <v>0.11</v>
      </c>
      <c r="AQ18" s="0" t="n">
        <v>0.11</v>
      </c>
      <c r="AR18" s="0" t="n">
        <v>0.09</v>
      </c>
      <c r="AS18" s="0" t="n">
        <v>0.09</v>
      </c>
      <c r="AT18" s="0" t="n">
        <v>0.11</v>
      </c>
      <c r="AU18" s="0" t="n">
        <v>0.15</v>
      </c>
      <c r="AV18" s="0" t="n">
        <v>6</v>
      </c>
    </row>
    <row r="19" customFormat="false" ht="15" hidden="false" customHeight="false" outlineLevel="0" collapsed="false">
      <c r="A19" s="0" t="n">
        <v>472</v>
      </c>
      <c r="B19" s="0" t="n">
        <v>2022</v>
      </c>
      <c r="C19" s="0" t="s">
        <v>105</v>
      </c>
      <c r="D19" s="0" t="s">
        <v>106</v>
      </c>
      <c r="E19" s="0" t="s">
        <v>99</v>
      </c>
      <c r="F19" s="0" t="s">
        <v>51</v>
      </c>
      <c r="G19" s="0" t="s">
        <v>107</v>
      </c>
      <c r="H19" s="0" t="s">
        <v>53</v>
      </c>
      <c r="I19" s="0" t="s">
        <v>64</v>
      </c>
      <c r="J19" s="0" t="s">
        <v>55</v>
      </c>
      <c r="K19" s="0" t="s">
        <v>56</v>
      </c>
      <c r="L19" s="0" t="n">
        <v>17515</v>
      </c>
      <c r="M19" s="0" t="n">
        <v>1563</v>
      </c>
      <c r="N19" s="0" t="s">
        <v>108</v>
      </c>
      <c r="O19" s="0" t="n">
        <v>60.4</v>
      </c>
      <c r="P19" s="0" t="n">
        <v>7495</v>
      </c>
      <c r="Q19" s="0" t="n">
        <v>10020</v>
      </c>
      <c r="R19" s="0" t="n">
        <v>42.79</v>
      </c>
      <c r="S19" s="0" t="n">
        <v>57.21</v>
      </c>
      <c r="T19" s="0" t="n">
        <v>10564</v>
      </c>
      <c r="U19" s="0" t="n">
        <v>3947</v>
      </c>
      <c r="V19" s="0" t="n">
        <v>2664</v>
      </c>
      <c r="W19" s="0" t="n">
        <v>60.31</v>
      </c>
      <c r="X19" s="0" t="n">
        <v>22.53</v>
      </c>
      <c r="Y19" s="0" t="n">
        <v>15.21</v>
      </c>
      <c r="Z19" s="0" t="n">
        <v>1563</v>
      </c>
      <c r="AA19" s="0" t="n">
        <v>627</v>
      </c>
      <c r="AB19" s="0" t="n">
        <v>936</v>
      </c>
      <c r="AC19" s="0" t="n">
        <v>957</v>
      </c>
      <c r="AD19" s="0" t="n">
        <v>301</v>
      </c>
      <c r="AE19" s="0" t="n">
        <v>275</v>
      </c>
      <c r="AF19" s="0" t="n">
        <v>8.92</v>
      </c>
      <c r="AG19" s="0" t="n">
        <v>8.37</v>
      </c>
      <c r="AH19" s="0" t="n">
        <v>9.34</v>
      </c>
      <c r="AI19" s="0" t="n">
        <v>9.06</v>
      </c>
      <c r="AJ19" s="0" t="n">
        <v>7.63</v>
      </c>
      <c r="AK19" s="0" t="n">
        <v>10.32</v>
      </c>
      <c r="AL19" s="0" t="s">
        <v>57</v>
      </c>
      <c r="AM19" s="0" t="s">
        <v>57</v>
      </c>
      <c r="AN19" s="0" t="s">
        <v>57</v>
      </c>
      <c r="AO19" s="0" t="s">
        <v>57</v>
      </c>
      <c r="AP19" s="0" t="n">
        <v>0.09</v>
      </c>
      <c r="AQ19" s="0" t="n">
        <v>0.08</v>
      </c>
      <c r="AR19" s="0" t="n">
        <v>0.09</v>
      </c>
      <c r="AS19" s="0" t="n">
        <v>0.09</v>
      </c>
      <c r="AT19" s="0" t="n">
        <v>0.08</v>
      </c>
      <c r="AU19" s="0" t="n">
        <v>0.1</v>
      </c>
      <c r="AV19" s="0" t="n">
        <v>8</v>
      </c>
    </row>
    <row r="20" customFormat="false" ht="15" hidden="false" customHeight="false" outlineLevel="0" collapsed="false">
      <c r="A20" s="0" t="n">
        <v>510</v>
      </c>
      <c r="B20" s="0" t="n">
        <v>2024</v>
      </c>
      <c r="C20" s="0" t="s">
        <v>109</v>
      </c>
      <c r="D20" s="0" t="s">
        <v>106</v>
      </c>
      <c r="E20" s="0" t="s">
        <v>99</v>
      </c>
      <c r="F20" s="0" t="s">
        <v>51</v>
      </c>
      <c r="G20" s="0" t="s">
        <v>110</v>
      </c>
      <c r="H20" s="0" t="s">
        <v>53</v>
      </c>
      <c r="I20" s="0" t="s">
        <v>54</v>
      </c>
      <c r="J20" s="0" t="s">
        <v>55</v>
      </c>
      <c r="K20" s="0" t="s">
        <v>56</v>
      </c>
      <c r="L20" s="0" t="n">
        <v>22387</v>
      </c>
      <c r="M20" s="0" t="n">
        <v>2535</v>
      </c>
      <c r="N20" s="0" t="s">
        <v>111</v>
      </c>
      <c r="O20" s="0" t="n">
        <v>56.2</v>
      </c>
      <c r="P20" s="0" t="n">
        <v>9874</v>
      </c>
      <c r="Q20" s="0" t="n">
        <v>6500</v>
      </c>
      <c r="R20" s="0" t="n">
        <v>44.11</v>
      </c>
      <c r="S20" s="0" t="n">
        <v>29.03</v>
      </c>
      <c r="T20" s="0" t="n">
        <v>13213</v>
      </c>
      <c r="U20" s="0" t="n">
        <v>5089</v>
      </c>
      <c r="V20" s="0" t="n">
        <v>4085</v>
      </c>
      <c r="W20" s="0" t="n">
        <v>59.02</v>
      </c>
      <c r="X20" s="0" t="n">
        <v>22.73</v>
      </c>
      <c r="Y20" s="0" t="n">
        <v>18.25</v>
      </c>
      <c r="Z20" s="0" t="n">
        <v>2535</v>
      </c>
      <c r="AA20" s="0" t="n">
        <v>1308</v>
      </c>
      <c r="AB20" s="0" t="n">
        <v>1227</v>
      </c>
      <c r="AC20" s="0" t="n">
        <v>1384</v>
      </c>
      <c r="AD20" s="0" t="n">
        <v>693</v>
      </c>
      <c r="AE20" s="0" t="n">
        <v>458</v>
      </c>
      <c r="AF20" s="0" t="n">
        <v>11.32</v>
      </c>
      <c r="AG20" s="0" t="n">
        <v>13.25</v>
      </c>
      <c r="AH20" s="0" t="n">
        <v>18.88</v>
      </c>
      <c r="AI20" s="0" t="n">
        <v>10.47</v>
      </c>
      <c r="AJ20" s="0" t="n">
        <v>13.62</v>
      </c>
      <c r="AK20" s="0" t="n">
        <v>11.21</v>
      </c>
      <c r="AL20" s="0" t="s">
        <v>58</v>
      </c>
      <c r="AM20" s="0" t="s">
        <v>57</v>
      </c>
      <c r="AN20" s="0" t="s">
        <v>57</v>
      </c>
      <c r="AO20" s="0" t="s">
        <v>58</v>
      </c>
      <c r="AP20" s="0" t="n">
        <v>0.11</v>
      </c>
      <c r="AQ20" s="0" t="n">
        <v>0.13</v>
      </c>
      <c r="AR20" s="0" t="n">
        <v>0.19</v>
      </c>
      <c r="AS20" s="0" t="n">
        <v>0.1</v>
      </c>
      <c r="AT20" s="0" t="n">
        <v>0.14</v>
      </c>
      <c r="AU20" s="0" t="n">
        <v>0.11</v>
      </c>
      <c r="AV20" s="0" t="n">
        <v>9</v>
      </c>
    </row>
    <row r="21" customFormat="false" ht="15" hidden="false" customHeight="false" outlineLevel="0" collapsed="false">
      <c r="A21" s="0" t="n">
        <v>543</v>
      </c>
      <c r="B21" s="0" t="n">
        <v>2020</v>
      </c>
      <c r="C21" s="0" t="s">
        <v>112</v>
      </c>
      <c r="D21" s="0" t="s">
        <v>113</v>
      </c>
      <c r="E21" s="0" t="s">
        <v>99</v>
      </c>
      <c r="F21" s="0" t="s">
        <v>51</v>
      </c>
      <c r="G21" s="0" t="s">
        <v>52</v>
      </c>
      <c r="H21" s="0" t="s">
        <v>53</v>
      </c>
      <c r="I21" s="0" t="s">
        <v>54</v>
      </c>
      <c r="J21" s="0" t="s">
        <v>55</v>
      </c>
      <c r="K21" s="0" t="s">
        <v>56</v>
      </c>
      <c r="L21" s="0" t="n">
        <v>6945</v>
      </c>
      <c r="M21" s="0" t="n">
        <v>1495</v>
      </c>
      <c r="N21" s="0" t="s">
        <v>114</v>
      </c>
      <c r="O21" s="0" t="n">
        <v>38.1</v>
      </c>
      <c r="P21" s="0" t="n">
        <v>5334</v>
      </c>
      <c r="Q21" s="0" t="n">
        <v>1611</v>
      </c>
      <c r="R21" s="0" t="n">
        <v>76.8</v>
      </c>
      <c r="S21" s="0" t="n">
        <v>23.2</v>
      </c>
      <c r="T21" s="0" t="n">
        <v>4382</v>
      </c>
      <c r="U21" s="0" t="n">
        <v>568</v>
      </c>
      <c r="V21" s="0" t="n">
        <v>1995</v>
      </c>
      <c r="W21" s="0" t="n">
        <v>63.1</v>
      </c>
      <c r="X21" s="0" t="n">
        <v>8.18</v>
      </c>
      <c r="Y21" s="0" t="n">
        <v>28.73</v>
      </c>
      <c r="Z21" s="0" t="n">
        <v>1495</v>
      </c>
      <c r="AA21" s="0" t="n">
        <v>1156</v>
      </c>
      <c r="AB21" s="0" t="n">
        <v>339</v>
      </c>
      <c r="AF21" s="0" t="n">
        <v>21.53</v>
      </c>
      <c r="AG21" s="0" t="n">
        <v>21.67</v>
      </c>
      <c r="AH21" s="0" t="n">
        <v>21.04</v>
      </c>
      <c r="AL21" s="0" t="s">
        <v>57</v>
      </c>
      <c r="AM21" s="0" t="s">
        <v>57</v>
      </c>
      <c r="AN21" s="0" t="s">
        <v>58</v>
      </c>
      <c r="AO21" s="0" t="s">
        <v>57</v>
      </c>
      <c r="AP21" s="0" t="n">
        <v>0.22</v>
      </c>
      <c r="AQ21" s="0" t="n">
        <v>0.22</v>
      </c>
      <c r="AR21" s="0" t="n">
        <v>0.21</v>
      </c>
      <c r="AV21" s="0" t="n">
        <v>6</v>
      </c>
    </row>
    <row r="22" customFormat="false" ht="15" hidden="false" customHeight="false" outlineLevel="0" collapsed="false">
      <c r="A22" s="0" t="n">
        <v>561</v>
      </c>
      <c r="B22" s="0" t="n">
        <v>2023</v>
      </c>
      <c r="C22" s="0" t="s">
        <v>115</v>
      </c>
      <c r="D22" s="0" t="s">
        <v>106</v>
      </c>
      <c r="E22" s="0" t="s">
        <v>99</v>
      </c>
      <c r="F22" s="0" t="s">
        <v>51</v>
      </c>
      <c r="G22" s="0" t="s">
        <v>116</v>
      </c>
      <c r="H22" s="0" t="s">
        <v>53</v>
      </c>
      <c r="I22" s="0" t="s">
        <v>54</v>
      </c>
      <c r="J22" s="0" t="s">
        <v>55</v>
      </c>
      <c r="K22" s="0" t="s">
        <v>56</v>
      </c>
      <c r="L22" s="0" t="n">
        <v>26343</v>
      </c>
      <c r="M22" s="0" t="n">
        <v>4725</v>
      </c>
      <c r="N22" s="0" t="s">
        <v>117</v>
      </c>
      <c r="O22" s="0" t="n">
        <v>58.9</v>
      </c>
      <c r="P22" s="0" t="n">
        <v>8640</v>
      </c>
      <c r="Q22" s="0" t="n">
        <v>17703</v>
      </c>
      <c r="R22" s="0" t="n">
        <v>32.8</v>
      </c>
      <c r="S22" s="0" t="n">
        <v>67.2</v>
      </c>
      <c r="Z22" s="0" t="n">
        <v>4725</v>
      </c>
      <c r="AF22" s="0" t="n">
        <v>17.93</v>
      </c>
      <c r="AL22" s="0" t="s">
        <v>57</v>
      </c>
      <c r="AM22" s="0" t="s">
        <v>58</v>
      </c>
      <c r="AN22" s="0" t="s">
        <v>58</v>
      </c>
      <c r="AO22" s="0" t="s">
        <v>57</v>
      </c>
      <c r="AP22" s="0" t="n">
        <v>0.18</v>
      </c>
      <c r="AV22" s="0" t="n">
        <v>8</v>
      </c>
    </row>
    <row r="23" customFormat="false" ht="15" hidden="false" customHeight="false" outlineLevel="0" collapsed="false">
      <c r="A23" s="0" t="n">
        <v>566</v>
      </c>
      <c r="B23" s="0" t="n">
        <v>2021</v>
      </c>
      <c r="C23" s="0" t="s">
        <v>118</v>
      </c>
      <c r="D23" s="0" t="s">
        <v>113</v>
      </c>
      <c r="E23" s="0" t="s">
        <v>99</v>
      </c>
      <c r="F23" s="0" t="s">
        <v>51</v>
      </c>
      <c r="G23" s="0" t="s">
        <v>52</v>
      </c>
      <c r="H23" s="0" t="s">
        <v>53</v>
      </c>
      <c r="I23" s="0" t="s">
        <v>54</v>
      </c>
      <c r="J23" s="0" t="s">
        <v>55</v>
      </c>
      <c r="K23" s="0" t="s">
        <v>56</v>
      </c>
      <c r="L23" s="0" t="n">
        <v>1653</v>
      </c>
      <c r="M23" s="0" t="n">
        <v>524</v>
      </c>
      <c r="N23" s="0" t="s">
        <v>119</v>
      </c>
      <c r="O23" s="0" t="n">
        <v>63.4</v>
      </c>
      <c r="P23" s="0" t="n">
        <v>598</v>
      </c>
      <c r="Q23" s="0" t="n">
        <v>1055</v>
      </c>
      <c r="R23" s="0" t="n">
        <v>36.18</v>
      </c>
      <c r="S23" s="0" t="n">
        <v>63.82</v>
      </c>
      <c r="Z23" s="0" t="n">
        <v>524</v>
      </c>
      <c r="AF23" s="0" t="n">
        <v>31.7</v>
      </c>
      <c r="AL23" s="0" t="s">
        <v>57</v>
      </c>
      <c r="AM23" s="0" t="s">
        <v>58</v>
      </c>
      <c r="AN23" s="0" t="s">
        <v>58</v>
      </c>
      <c r="AO23" s="0" t="s">
        <v>57</v>
      </c>
      <c r="AP23" s="0" t="n">
        <v>0.32</v>
      </c>
      <c r="AV23" s="0" t="n">
        <v>6</v>
      </c>
    </row>
    <row r="24" customFormat="false" ht="15" hidden="false" customHeight="false" outlineLevel="0" collapsed="false">
      <c r="A24" s="0" t="n">
        <v>599</v>
      </c>
      <c r="B24" s="0" t="n">
        <v>2003</v>
      </c>
      <c r="C24" s="0" t="s">
        <v>120</v>
      </c>
      <c r="D24" s="0" t="s">
        <v>61</v>
      </c>
      <c r="E24" s="0" t="s">
        <v>62</v>
      </c>
      <c r="F24" s="0" t="s">
        <v>51</v>
      </c>
      <c r="G24" s="0" t="s">
        <v>121</v>
      </c>
      <c r="H24" s="0" t="s">
        <v>53</v>
      </c>
      <c r="I24" s="0" t="s">
        <v>54</v>
      </c>
      <c r="J24" s="0" t="s">
        <v>55</v>
      </c>
      <c r="K24" s="0" t="s">
        <v>56</v>
      </c>
      <c r="L24" s="0" t="n">
        <v>5542</v>
      </c>
      <c r="M24" s="0" t="n">
        <v>510</v>
      </c>
      <c r="O24" s="0" t="n">
        <v>47.5</v>
      </c>
      <c r="P24" s="0" t="n">
        <v>2508</v>
      </c>
      <c r="Q24" s="0" t="n">
        <v>3034</v>
      </c>
      <c r="R24" s="0" t="n">
        <v>45.25</v>
      </c>
      <c r="S24" s="0" t="n">
        <v>54.75</v>
      </c>
      <c r="T24" s="0" t="n">
        <v>2109</v>
      </c>
      <c r="U24" s="0" t="n">
        <v>1110</v>
      </c>
      <c r="V24" s="0" t="n">
        <v>2323</v>
      </c>
      <c r="W24" s="0" t="n">
        <v>38.05</v>
      </c>
      <c r="X24" s="0" t="n">
        <v>20.03</v>
      </c>
      <c r="Y24" s="0" t="n">
        <v>41.92</v>
      </c>
      <c r="Z24" s="0" t="n">
        <v>510</v>
      </c>
      <c r="AA24" s="0" t="n">
        <v>221</v>
      </c>
      <c r="AB24" s="0" t="n">
        <v>291</v>
      </c>
      <c r="AC24" s="0" t="n">
        <v>198</v>
      </c>
      <c r="AD24" s="0" t="n">
        <v>77</v>
      </c>
      <c r="AE24" s="0" t="n">
        <v>232</v>
      </c>
      <c r="AF24" s="0" t="n">
        <v>9.2</v>
      </c>
      <c r="AG24" s="0" t="n">
        <v>8.8</v>
      </c>
      <c r="AH24" s="0" t="n">
        <v>9.6</v>
      </c>
      <c r="AI24" s="0" t="n">
        <v>9.4</v>
      </c>
      <c r="AJ24" s="0" t="n">
        <v>6.9</v>
      </c>
      <c r="AK24" s="0" t="n">
        <v>10</v>
      </c>
      <c r="AL24" s="0" t="s">
        <v>57</v>
      </c>
      <c r="AM24" s="0" t="s">
        <v>57</v>
      </c>
      <c r="AN24" s="0" t="s">
        <v>57</v>
      </c>
      <c r="AO24" s="0" t="s">
        <v>57</v>
      </c>
      <c r="AP24" s="0" t="n">
        <v>0.09</v>
      </c>
      <c r="AQ24" s="0" t="n">
        <v>0.09</v>
      </c>
      <c r="AR24" s="0" t="n">
        <v>0.1</v>
      </c>
      <c r="AS24" s="0" t="n">
        <v>0.09</v>
      </c>
      <c r="AT24" s="0" t="n">
        <v>0.07</v>
      </c>
      <c r="AU24" s="0" t="n">
        <v>0.1</v>
      </c>
      <c r="AV24" s="0" t="n">
        <v>9</v>
      </c>
    </row>
    <row r="25" customFormat="false" ht="15" hidden="false" customHeight="false" outlineLevel="0" collapsed="false">
      <c r="A25" s="0" t="n">
        <v>600</v>
      </c>
      <c r="B25" s="0" t="n">
        <v>2012</v>
      </c>
      <c r="C25" s="0" t="s">
        <v>122</v>
      </c>
      <c r="D25" s="0" t="s">
        <v>61</v>
      </c>
      <c r="E25" s="0" t="s">
        <v>62</v>
      </c>
      <c r="F25" s="0" t="s">
        <v>51</v>
      </c>
      <c r="G25" s="0" t="s">
        <v>123</v>
      </c>
      <c r="H25" s="0" t="s">
        <v>53</v>
      </c>
      <c r="I25" s="0" t="s">
        <v>54</v>
      </c>
      <c r="J25" s="0" t="s">
        <v>55</v>
      </c>
      <c r="K25" s="0" t="s">
        <v>56</v>
      </c>
      <c r="L25" s="0" t="n">
        <v>13847</v>
      </c>
      <c r="M25" s="0" t="n">
        <v>1445</v>
      </c>
      <c r="O25" s="0" t="n">
        <v>51</v>
      </c>
      <c r="P25" s="0" t="n">
        <v>6495</v>
      </c>
      <c r="Q25" s="0" t="n">
        <v>7352</v>
      </c>
      <c r="R25" s="0" t="n">
        <v>46.91</v>
      </c>
      <c r="S25" s="0" t="n">
        <v>53.09</v>
      </c>
      <c r="T25" s="0" t="n">
        <v>6457</v>
      </c>
      <c r="U25" s="0" t="n">
        <v>3598</v>
      </c>
      <c r="V25" s="0" t="n">
        <v>3792</v>
      </c>
      <c r="W25" s="0" t="n">
        <v>46.63</v>
      </c>
      <c r="X25" s="0" t="n">
        <v>25.98</v>
      </c>
      <c r="Y25" s="0" t="n">
        <v>27.38</v>
      </c>
      <c r="Z25" s="0" t="n">
        <v>1445</v>
      </c>
      <c r="AF25" s="0" t="n">
        <v>10.44</v>
      </c>
      <c r="AL25" s="0" t="s">
        <v>57</v>
      </c>
      <c r="AM25" s="0" t="s">
        <v>58</v>
      </c>
      <c r="AN25" s="0" t="s">
        <v>58</v>
      </c>
      <c r="AO25" s="0" t="s">
        <v>57</v>
      </c>
      <c r="AP25" s="0" t="n">
        <v>0.1</v>
      </c>
      <c r="AV25" s="0" t="n">
        <v>7</v>
      </c>
    </row>
    <row r="26" customFormat="false" ht="15" hidden="false" customHeight="false" outlineLevel="0" collapsed="false">
      <c r="A26" s="0" t="n">
        <v>600</v>
      </c>
      <c r="B26" s="0" t="n">
        <v>2012</v>
      </c>
      <c r="C26" s="0" t="s">
        <v>122</v>
      </c>
      <c r="D26" s="0" t="s">
        <v>61</v>
      </c>
      <c r="E26" s="0" t="s">
        <v>62</v>
      </c>
      <c r="F26" s="0" t="s">
        <v>51</v>
      </c>
      <c r="G26" s="0" t="s">
        <v>123</v>
      </c>
      <c r="H26" s="0" t="s">
        <v>59</v>
      </c>
      <c r="I26" s="0" t="s">
        <v>54</v>
      </c>
      <c r="J26" s="0" t="s">
        <v>55</v>
      </c>
      <c r="K26" s="0" t="s">
        <v>56</v>
      </c>
      <c r="L26" s="0" t="n">
        <v>13847</v>
      </c>
      <c r="M26" s="0" t="n">
        <v>1180</v>
      </c>
      <c r="P26" s="0" t="n">
        <v>6495</v>
      </c>
      <c r="Q26" s="0" t="n">
        <v>7352</v>
      </c>
      <c r="R26" s="0" t="n">
        <v>46.91</v>
      </c>
      <c r="S26" s="0" t="n">
        <v>53.09</v>
      </c>
      <c r="T26" s="0" t="n">
        <v>6457</v>
      </c>
      <c r="U26" s="0" t="n">
        <v>3598</v>
      </c>
      <c r="V26" s="0" t="n">
        <v>3792</v>
      </c>
      <c r="W26" s="0" t="n">
        <v>46.63</v>
      </c>
      <c r="X26" s="0" t="n">
        <v>25.98</v>
      </c>
      <c r="Y26" s="0" t="n">
        <v>27.38</v>
      </c>
      <c r="Z26" s="0" t="n">
        <v>1180</v>
      </c>
      <c r="AF26" s="0" t="n">
        <v>8.52</v>
      </c>
      <c r="AL26" s="0" t="s">
        <v>57</v>
      </c>
      <c r="AM26" s="0" t="s">
        <v>58</v>
      </c>
      <c r="AN26" s="0" t="s">
        <v>58</v>
      </c>
      <c r="AO26" s="0" t="s">
        <v>57</v>
      </c>
      <c r="AP26" s="0" t="n">
        <v>0.09</v>
      </c>
      <c r="AV26" s="0" t="n">
        <v>7</v>
      </c>
    </row>
    <row r="27" customFormat="false" ht="15" hidden="false" customHeight="false" outlineLevel="0" collapsed="false">
      <c r="A27" s="0" t="n">
        <v>601</v>
      </c>
      <c r="B27" s="0" t="n">
        <v>2003</v>
      </c>
      <c r="C27" s="0" t="s">
        <v>124</v>
      </c>
      <c r="D27" s="0" t="s">
        <v>61</v>
      </c>
      <c r="E27" s="0" t="s">
        <v>62</v>
      </c>
      <c r="F27" s="0" t="s">
        <v>51</v>
      </c>
      <c r="G27" s="0" t="s">
        <v>125</v>
      </c>
      <c r="H27" s="0" t="s">
        <v>53</v>
      </c>
      <c r="I27" s="0" t="s">
        <v>54</v>
      </c>
      <c r="J27" s="0" t="s">
        <v>55</v>
      </c>
      <c r="K27" s="0" t="s">
        <v>56</v>
      </c>
      <c r="L27" s="0" t="n">
        <v>7503</v>
      </c>
      <c r="M27" s="0" t="n">
        <v>495</v>
      </c>
      <c r="N27" s="0" t="s">
        <v>126</v>
      </c>
      <c r="O27" s="0" t="n">
        <v>42.2</v>
      </c>
      <c r="P27" s="0" t="n">
        <v>3291</v>
      </c>
      <c r="Q27" s="0" t="n">
        <v>4212</v>
      </c>
      <c r="R27" s="0" t="n">
        <v>43.86</v>
      </c>
      <c r="S27" s="0" t="n">
        <v>56.14</v>
      </c>
      <c r="T27" s="0" t="n">
        <v>4064</v>
      </c>
      <c r="U27" s="0" t="n">
        <v>1571</v>
      </c>
      <c r="V27" s="0" t="n">
        <v>1868</v>
      </c>
      <c r="W27" s="0" t="n">
        <v>54.17</v>
      </c>
      <c r="X27" s="0" t="n">
        <v>20.94</v>
      </c>
      <c r="Y27" s="0" t="n">
        <v>24.9</v>
      </c>
      <c r="Z27" s="0" t="n">
        <v>495</v>
      </c>
      <c r="AA27" s="0" t="n">
        <v>194</v>
      </c>
      <c r="AB27" s="0" t="n">
        <v>303</v>
      </c>
      <c r="AC27" s="0" t="n">
        <v>293</v>
      </c>
      <c r="AD27" s="0" t="n">
        <v>82</v>
      </c>
      <c r="AE27" s="0" t="n">
        <v>129</v>
      </c>
      <c r="AF27" s="0" t="n">
        <v>6.6</v>
      </c>
      <c r="AG27" s="0" t="n">
        <v>5.89</v>
      </c>
      <c r="AH27" s="0" t="n">
        <v>7.19</v>
      </c>
      <c r="AI27" s="0" t="n">
        <v>7.21</v>
      </c>
      <c r="AJ27" s="0" t="n">
        <v>5.22</v>
      </c>
      <c r="AK27" s="0" t="n">
        <v>6.91</v>
      </c>
      <c r="AL27" s="0" t="s">
        <v>57</v>
      </c>
      <c r="AM27" s="0" t="s">
        <v>57</v>
      </c>
      <c r="AN27" s="0" t="s">
        <v>57</v>
      </c>
      <c r="AO27" s="0" t="s">
        <v>57</v>
      </c>
      <c r="AP27" s="0" t="n">
        <v>0.07</v>
      </c>
      <c r="AQ27" s="0" t="n">
        <v>0.06</v>
      </c>
      <c r="AR27" s="0" t="n">
        <v>0.07</v>
      </c>
      <c r="AS27" s="0" t="n">
        <v>0.07</v>
      </c>
      <c r="AT27" s="0" t="n">
        <v>0.05</v>
      </c>
      <c r="AU27" s="0" t="n">
        <v>0.07</v>
      </c>
      <c r="AV27" s="0" t="n">
        <v>8</v>
      </c>
    </row>
    <row r="28" customFormat="false" ht="15" hidden="false" customHeight="false" outlineLevel="0" collapsed="false">
      <c r="A28" s="0" t="n">
        <v>603</v>
      </c>
      <c r="B28" s="0" t="n">
        <v>2012</v>
      </c>
      <c r="C28" s="0" t="s">
        <v>127</v>
      </c>
      <c r="D28" s="0" t="s">
        <v>128</v>
      </c>
      <c r="E28" s="0" t="s">
        <v>129</v>
      </c>
      <c r="F28" s="0" t="s">
        <v>130</v>
      </c>
      <c r="G28" s="0" t="s">
        <v>131</v>
      </c>
      <c r="H28" s="0" t="s">
        <v>53</v>
      </c>
      <c r="I28" s="0" t="s">
        <v>64</v>
      </c>
      <c r="J28" s="0" t="s">
        <v>56</v>
      </c>
      <c r="K28" s="0" t="s">
        <v>56</v>
      </c>
      <c r="L28" s="0" t="n">
        <v>9762</v>
      </c>
      <c r="M28" s="0" t="n">
        <v>1382</v>
      </c>
      <c r="O28" s="0" t="n">
        <v>56.5</v>
      </c>
      <c r="P28" s="0" t="n">
        <v>4664</v>
      </c>
      <c r="Q28" s="0" t="n">
        <v>5098</v>
      </c>
      <c r="R28" s="0" t="n">
        <v>47.78</v>
      </c>
      <c r="S28" s="0" t="n">
        <v>52.22</v>
      </c>
      <c r="T28" s="0" t="n">
        <v>4180</v>
      </c>
      <c r="U28" s="0" t="n">
        <v>2448</v>
      </c>
      <c r="V28" s="0" t="n">
        <v>3134</v>
      </c>
      <c r="W28" s="0" t="n">
        <v>42.82</v>
      </c>
      <c r="X28" s="0" t="n">
        <v>25.08</v>
      </c>
      <c r="Y28" s="0" t="n">
        <v>32.1</v>
      </c>
      <c r="Z28" s="0" t="n">
        <v>1382</v>
      </c>
      <c r="AA28" s="0" t="n">
        <v>546</v>
      </c>
      <c r="AB28" s="0" t="n">
        <v>836</v>
      </c>
      <c r="AC28" s="0" t="n">
        <v>590</v>
      </c>
      <c r="AD28" s="0" t="n">
        <v>446</v>
      </c>
      <c r="AE28" s="0" t="n">
        <v>346</v>
      </c>
      <c r="AF28" s="0" t="n">
        <v>14.16</v>
      </c>
      <c r="AG28" s="0" t="n">
        <v>11.71</v>
      </c>
      <c r="AH28" s="0" t="n">
        <v>16.4</v>
      </c>
      <c r="AI28" s="0" t="n">
        <v>14.11</v>
      </c>
      <c r="AJ28" s="0" t="n">
        <v>18.22</v>
      </c>
      <c r="AK28" s="0" t="n">
        <v>11.04</v>
      </c>
      <c r="AL28" s="0" t="s">
        <v>57</v>
      </c>
      <c r="AM28" s="0" t="s">
        <v>57</v>
      </c>
      <c r="AN28" s="0" t="s">
        <v>57</v>
      </c>
      <c r="AO28" s="0" t="s">
        <v>57</v>
      </c>
      <c r="AP28" s="0" t="n">
        <v>0.14</v>
      </c>
      <c r="AQ28" s="0" t="n">
        <v>0.12</v>
      </c>
      <c r="AR28" s="0" t="n">
        <v>0.16</v>
      </c>
      <c r="AS28" s="0" t="n">
        <v>0.14</v>
      </c>
      <c r="AT28" s="0" t="n">
        <v>0.18</v>
      </c>
      <c r="AU28" s="0" t="n">
        <v>0.11</v>
      </c>
      <c r="AV28" s="0" t="n">
        <v>7</v>
      </c>
    </row>
    <row r="29" customFormat="false" ht="15" hidden="false" customHeight="false" outlineLevel="0" collapsed="false">
      <c r="A29" s="0" t="n">
        <v>636</v>
      </c>
      <c r="B29" s="0" t="n">
        <v>2016</v>
      </c>
      <c r="C29" s="0" t="s">
        <v>132</v>
      </c>
      <c r="D29" s="0" t="s">
        <v>133</v>
      </c>
      <c r="E29" s="0" t="s">
        <v>134</v>
      </c>
      <c r="F29" s="0" t="s">
        <v>135</v>
      </c>
      <c r="G29" s="0" t="s">
        <v>52</v>
      </c>
      <c r="H29" s="0" t="s">
        <v>53</v>
      </c>
      <c r="I29" s="0" t="s">
        <v>54</v>
      </c>
      <c r="J29" s="0" t="s">
        <v>56</v>
      </c>
      <c r="K29" s="0" t="s">
        <v>56</v>
      </c>
      <c r="L29" s="0" t="n">
        <v>1057</v>
      </c>
      <c r="M29" s="0" t="n">
        <v>408</v>
      </c>
      <c r="O29" s="0" t="n">
        <v>42.2</v>
      </c>
      <c r="P29" s="0" t="n">
        <v>446</v>
      </c>
      <c r="Q29" s="0" t="n">
        <v>613</v>
      </c>
      <c r="R29" s="0" t="n">
        <v>42.19</v>
      </c>
      <c r="S29" s="0" t="n">
        <v>57.99</v>
      </c>
      <c r="T29" s="0" t="n">
        <v>947</v>
      </c>
      <c r="V29" s="0" t="n">
        <v>110</v>
      </c>
      <c r="W29" s="0" t="n">
        <v>89.59</v>
      </c>
      <c r="Y29" s="0" t="n">
        <v>10.41</v>
      </c>
      <c r="Z29" s="0" t="n">
        <v>408</v>
      </c>
      <c r="AF29" s="0" t="n">
        <v>38.6</v>
      </c>
      <c r="AL29" s="0" t="s">
        <v>57</v>
      </c>
      <c r="AM29" s="0" t="s">
        <v>58</v>
      </c>
      <c r="AN29" s="0" t="s">
        <v>58</v>
      </c>
      <c r="AO29" s="0" t="s">
        <v>57</v>
      </c>
      <c r="AP29" s="0" t="n">
        <v>0.39</v>
      </c>
      <c r="AV29" s="0" t="n">
        <v>9</v>
      </c>
    </row>
    <row r="30" customFormat="false" ht="15" hidden="false" customHeight="false" outlineLevel="0" collapsed="false">
      <c r="A30" s="0" t="n">
        <v>636</v>
      </c>
      <c r="B30" s="0" t="n">
        <v>2016</v>
      </c>
      <c r="C30" s="0" t="s">
        <v>132</v>
      </c>
      <c r="D30" s="0" t="s">
        <v>133</v>
      </c>
      <c r="E30" s="0" t="s">
        <v>134</v>
      </c>
      <c r="F30" s="0" t="s">
        <v>135</v>
      </c>
      <c r="G30" s="0" t="s">
        <v>52</v>
      </c>
      <c r="H30" s="0" t="s">
        <v>59</v>
      </c>
      <c r="I30" s="0" t="s">
        <v>54</v>
      </c>
      <c r="J30" s="0" t="s">
        <v>56</v>
      </c>
      <c r="K30" s="0" t="s">
        <v>56</v>
      </c>
      <c r="L30" s="0" t="n">
        <v>1057</v>
      </c>
      <c r="M30" s="0" t="n">
        <v>95</v>
      </c>
      <c r="P30" s="0" t="n">
        <v>446</v>
      </c>
      <c r="Q30" s="0" t="n">
        <v>613</v>
      </c>
      <c r="R30" s="0" t="n">
        <v>42.19</v>
      </c>
      <c r="S30" s="0" t="n">
        <v>57.99</v>
      </c>
      <c r="T30" s="0" t="n">
        <v>947</v>
      </c>
      <c r="V30" s="0" t="n">
        <v>110</v>
      </c>
      <c r="W30" s="0" t="n">
        <v>89.59</v>
      </c>
      <c r="Y30" s="0" t="n">
        <v>10.41</v>
      </c>
      <c r="Z30" s="0" t="n">
        <v>95</v>
      </c>
      <c r="AF30" s="0" t="n">
        <v>9</v>
      </c>
      <c r="AL30" s="0" t="s">
        <v>57</v>
      </c>
      <c r="AM30" s="0" t="s">
        <v>58</v>
      </c>
      <c r="AN30" s="0" t="s">
        <v>58</v>
      </c>
      <c r="AO30" s="0" t="s">
        <v>57</v>
      </c>
      <c r="AP30" s="0" t="n">
        <v>0.09</v>
      </c>
      <c r="AV30" s="0" t="n">
        <v>9</v>
      </c>
    </row>
    <row r="31" customFormat="false" ht="15" hidden="false" customHeight="false" outlineLevel="0" collapsed="false">
      <c r="A31" s="0" t="n">
        <v>711</v>
      </c>
      <c r="B31" s="0" t="n">
        <v>2015</v>
      </c>
      <c r="C31" s="0" t="s">
        <v>136</v>
      </c>
      <c r="D31" s="0" t="s">
        <v>128</v>
      </c>
      <c r="E31" s="0" t="s">
        <v>62</v>
      </c>
      <c r="F31" s="0" t="s">
        <v>130</v>
      </c>
      <c r="G31" s="0" t="s">
        <v>137</v>
      </c>
      <c r="H31" s="0" t="s">
        <v>59</v>
      </c>
      <c r="I31" s="0" t="s">
        <v>54</v>
      </c>
      <c r="J31" s="0" t="s">
        <v>56</v>
      </c>
      <c r="K31" s="0" t="s">
        <v>56</v>
      </c>
      <c r="L31" s="0" t="n">
        <v>5315</v>
      </c>
      <c r="M31" s="0" t="n">
        <v>260</v>
      </c>
      <c r="Z31" s="0" t="n">
        <v>260</v>
      </c>
      <c r="AF31" s="0" t="n">
        <v>4.89</v>
      </c>
      <c r="AL31" s="0" t="s">
        <v>57</v>
      </c>
      <c r="AM31" s="0" t="s">
        <v>58</v>
      </c>
      <c r="AN31" s="0" t="s">
        <v>58</v>
      </c>
      <c r="AO31" s="0" t="s">
        <v>57</v>
      </c>
      <c r="AP31" s="0" t="n">
        <v>0.05</v>
      </c>
      <c r="AV31" s="0" t="n">
        <v>9</v>
      </c>
    </row>
    <row r="32" customFormat="false" ht="15" hidden="false" customHeight="false" outlineLevel="0" collapsed="false">
      <c r="A32" s="0" t="n">
        <v>741</v>
      </c>
      <c r="B32" s="0" t="n">
        <v>2010</v>
      </c>
      <c r="C32" s="0" t="s">
        <v>138</v>
      </c>
      <c r="D32" s="0" t="s">
        <v>106</v>
      </c>
      <c r="E32" s="0" t="s">
        <v>99</v>
      </c>
      <c r="F32" s="0" t="s">
        <v>51</v>
      </c>
      <c r="G32" s="0" t="s">
        <v>139</v>
      </c>
      <c r="H32" s="0" t="s">
        <v>53</v>
      </c>
      <c r="I32" s="0" t="s">
        <v>54</v>
      </c>
      <c r="J32" s="0" t="s">
        <v>55</v>
      </c>
      <c r="K32" s="0" t="s">
        <v>56</v>
      </c>
      <c r="L32" s="0" t="n">
        <v>4001</v>
      </c>
      <c r="M32" s="0" t="n">
        <v>217</v>
      </c>
      <c r="O32" s="0" t="n">
        <v>43.2</v>
      </c>
      <c r="Z32" s="0" t="n">
        <v>217</v>
      </c>
      <c r="AF32" s="0" t="n">
        <v>5.42</v>
      </c>
      <c r="AL32" s="0" t="s">
        <v>57</v>
      </c>
      <c r="AM32" s="0" t="s">
        <v>58</v>
      </c>
      <c r="AN32" s="0" t="s">
        <v>58</v>
      </c>
      <c r="AO32" s="0" t="s">
        <v>57</v>
      </c>
      <c r="AP32" s="0" t="n">
        <v>0.05</v>
      </c>
      <c r="AV32" s="0" t="n">
        <v>7</v>
      </c>
    </row>
    <row r="33" customFormat="false" ht="15" hidden="false" customHeight="false" outlineLevel="0" collapsed="false">
      <c r="A33" s="0" t="n">
        <v>758</v>
      </c>
      <c r="B33" s="0" t="n">
        <v>2016</v>
      </c>
      <c r="C33" s="0" t="s">
        <v>140</v>
      </c>
      <c r="D33" s="0" t="s">
        <v>141</v>
      </c>
      <c r="E33" s="0" t="s">
        <v>134</v>
      </c>
      <c r="F33" s="0" t="s">
        <v>142</v>
      </c>
      <c r="G33" s="0" t="s">
        <v>52</v>
      </c>
      <c r="H33" s="0" t="s">
        <v>59</v>
      </c>
      <c r="I33" s="0" t="s">
        <v>54</v>
      </c>
      <c r="J33" s="0" t="s">
        <v>143</v>
      </c>
      <c r="K33" s="0" t="s">
        <v>56</v>
      </c>
      <c r="L33" s="0" t="n">
        <v>1003</v>
      </c>
      <c r="M33" s="0" t="n">
        <v>189</v>
      </c>
      <c r="N33" s="0" t="s">
        <v>144</v>
      </c>
      <c r="O33" s="0" t="n">
        <v>33.7</v>
      </c>
      <c r="P33" s="0" t="n">
        <v>489</v>
      </c>
      <c r="Q33" s="0" t="n">
        <v>514</v>
      </c>
      <c r="R33" s="0" t="n">
        <v>48.75373878</v>
      </c>
      <c r="S33" s="0" t="n">
        <v>51.24626122</v>
      </c>
      <c r="T33" s="0" t="n">
        <v>845</v>
      </c>
      <c r="U33" s="0" t="n">
        <v>64</v>
      </c>
      <c r="V33" s="0" t="n">
        <v>90</v>
      </c>
      <c r="W33" s="0" t="n">
        <v>84.24725823</v>
      </c>
      <c r="X33" s="0" t="n">
        <v>6.380857428</v>
      </c>
      <c r="Y33" s="0" t="n">
        <v>8.973080758</v>
      </c>
      <c r="Z33" s="0" t="n">
        <v>189</v>
      </c>
      <c r="AA33" s="0" t="n">
        <v>92</v>
      </c>
      <c r="AB33" s="0" t="n">
        <v>97</v>
      </c>
      <c r="AC33" s="0" t="n">
        <v>158</v>
      </c>
      <c r="AD33" s="0" t="n">
        <v>12</v>
      </c>
      <c r="AE33" s="0" t="n">
        <v>19</v>
      </c>
      <c r="AF33" s="0" t="n">
        <v>18.84</v>
      </c>
      <c r="AG33" s="0" t="n">
        <v>18.81390593</v>
      </c>
      <c r="AH33" s="0" t="n">
        <v>18.87159533</v>
      </c>
      <c r="AI33" s="0" t="n">
        <v>18.69822485</v>
      </c>
      <c r="AJ33" s="0" t="n">
        <v>18.75</v>
      </c>
      <c r="AK33" s="0" t="n">
        <v>21.11111111</v>
      </c>
      <c r="AL33" s="0" t="s">
        <v>57</v>
      </c>
      <c r="AM33" s="0" t="s">
        <v>57</v>
      </c>
      <c r="AN33" s="0" t="s">
        <v>57</v>
      </c>
      <c r="AO33" s="0" t="s">
        <v>57</v>
      </c>
      <c r="AP33" s="0" t="n">
        <v>0.19</v>
      </c>
      <c r="AQ33" s="0" t="n">
        <v>0.19</v>
      </c>
      <c r="AR33" s="0" t="n">
        <v>0.19</v>
      </c>
      <c r="AS33" s="0" t="n">
        <v>0.19</v>
      </c>
      <c r="AT33" s="0" t="n">
        <v>0.19</v>
      </c>
      <c r="AU33" s="0" t="n">
        <v>0.21</v>
      </c>
      <c r="AV33" s="0" t="n">
        <v>9</v>
      </c>
    </row>
    <row r="34" customFormat="false" ht="15" hidden="false" customHeight="false" outlineLevel="0" collapsed="false">
      <c r="A34" s="0" t="n">
        <v>763</v>
      </c>
      <c r="B34" s="0" t="n">
        <v>2023</v>
      </c>
      <c r="C34" s="0" t="s">
        <v>145</v>
      </c>
      <c r="D34" s="0" t="s">
        <v>128</v>
      </c>
      <c r="E34" s="0" t="s">
        <v>62</v>
      </c>
      <c r="F34" s="0" t="s">
        <v>130</v>
      </c>
      <c r="G34" s="0" t="s">
        <v>137</v>
      </c>
      <c r="H34" s="0" t="s">
        <v>53</v>
      </c>
      <c r="I34" s="0" t="s">
        <v>64</v>
      </c>
      <c r="J34" s="0" t="s">
        <v>56</v>
      </c>
      <c r="K34" s="0" t="s">
        <v>56</v>
      </c>
      <c r="L34" s="0" t="n">
        <v>2942</v>
      </c>
      <c r="M34" s="0" t="n">
        <v>146</v>
      </c>
      <c r="O34" s="0" t="n">
        <v>56.6</v>
      </c>
      <c r="P34" s="0" t="n">
        <v>1219</v>
      </c>
      <c r="Q34" s="0" t="n">
        <v>1723</v>
      </c>
      <c r="R34" s="0" t="n">
        <v>41.43</v>
      </c>
      <c r="S34" s="0" t="n">
        <v>58.57</v>
      </c>
      <c r="V34" s="0" t="n">
        <v>906</v>
      </c>
      <c r="W34" s="0" t="n">
        <v>0</v>
      </c>
      <c r="X34" s="0" t="n">
        <v>0</v>
      </c>
      <c r="Y34" s="0" t="n">
        <v>30.79</v>
      </c>
      <c r="Z34" s="0" t="n">
        <v>146</v>
      </c>
      <c r="AA34" s="0" t="n">
        <v>53</v>
      </c>
      <c r="AB34" s="0" t="n">
        <v>93</v>
      </c>
      <c r="AC34" s="0" t="n">
        <v>0</v>
      </c>
      <c r="AD34" s="0" t="n">
        <v>0</v>
      </c>
      <c r="AE34" s="0" t="n">
        <v>51</v>
      </c>
      <c r="AF34" s="0" t="n">
        <v>4.96</v>
      </c>
      <c r="AG34" s="0" t="n">
        <v>4.31</v>
      </c>
      <c r="AH34" s="0" t="n">
        <v>5.4</v>
      </c>
      <c r="AK34" s="0" t="n">
        <v>5.64</v>
      </c>
      <c r="AL34" s="0" t="s">
        <v>57</v>
      </c>
      <c r="AM34" s="0" t="s">
        <v>57</v>
      </c>
      <c r="AN34" s="0" t="s">
        <v>57</v>
      </c>
      <c r="AO34" s="0" t="s">
        <v>58</v>
      </c>
      <c r="AP34" s="0" t="n">
        <v>0.05</v>
      </c>
      <c r="AQ34" s="0" t="n">
        <v>0.04</v>
      </c>
      <c r="AR34" s="0" t="n">
        <v>0.05</v>
      </c>
      <c r="AS34" s="0" t="n">
        <v>0.14</v>
      </c>
      <c r="AT34" s="0" t="n">
        <v>0.12</v>
      </c>
      <c r="AU34" s="0" t="n">
        <v>0.06</v>
      </c>
      <c r="AV34" s="0" t="n">
        <v>9</v>
      </c>
    </row>
    <row r="35" customFormat="false" ht="15" hidden="false" customHeight="false" outlineLevel="0" collapsed="false">
      <c r="A35" s="0" t="n">
        <v>898</v>
      </c>
      <c r="B35" s="0" t="n">
        <v>2021</v>
      </c>
      <c r="C35" s="0" t="s">
        <v>146</v>
      </c>
      <c r="D35" s="0" t="s">
        <v>61</v>
      </c>
      <c r="E35" s="0" t="s">
        <v>62</v>
      </c>
      <c r="F35" s="0" t="s">
        <v>51</v>
      </c>
      <c r="G35" s="0" t="s">
        <v>147</v>
      </c>
      <c r="H35" s="0" t="s">
        <v>59</v>
      </c>
      <c r="I35" s="0" t="s">
        <v>64</v>
      </c>
      <c r="J35" s="0" t="s">
        <v>55</v>
      </c>
      <c r="K35" s="0" t="s">
        <v>56</v>
      </c>
      <c r="L35" s="0" t="n">
        <v>18059</v>
      </c>
      <c r="M35" s="0" t="n">
        <v>4030</v>
      </c>
      <c r="N35" s="0" t="s">
        <v>148</v>
      </c>
      <c r="O35" s="0" t="n">
        <v>54.78</v>
      </c>
      <c r="Z35" s="0" t="n">
        <v>4030</v>
      </c>
      <c r="AF35" s="0" t="n">
        <v>22.32</v>
      </c>
      <c r="AL35" s="0" t="s">
        <v>57</v>
      </c>
      <c r="AM35" s="0" t="s">
        <v>58</v>
      </c>
      <c r="AN35" s="0" t="s">
        <v>58</v>
      </c>
      <c r="AO35" s="0" t="s">
        <v>57</v>
      </c>
      <c r="AP35" s="0" t="n">
        <v>0.22</v>
      </c>
      <c r="AV35" s="0" t="n">
        <v>9</v>
      </c>
    </row>
    <row r="36" customFormat="false" ht="15" hidden="false" customHeight="false" outlineLevel="0" collapsed="false">
      <c r="A36" s="0" t="n">
        <v>898</v>
      </c>
      <c r="B36" s="0" t="n">
        <v>2021</v>
      </c>
      <c r="C36" s="0" t="s">
        <v>146</v>
      </c>
      <c r="D36" s="0" t="s">
        <v>61</v>
      </c>
      <c r="E36" s="0" t="s">
        <v>62</v>
      </c>
      <c r="F36" s="0" t="s">
        <v>51</v>
      </c>
      <c r="G36" s="0" t="s">
        <v>147</v>
      </c>
      <c r="H36" s="0" t="s">
        <v>59</v>
      </c>
      <c r="I36" s="0" t="s">
        <v>64</v>
      </c>
      <c r="J36" s="0" t="s">
        <v>56</v>
      </c>
      <c r="K36" s="0" t="s">
        <v>56</v>
      </c>
      <c r="L36" s="0" t="n">
        <v>8494</v>
      </c>
      <c r="M36" s="0" t="n">
        <v>1507</v>
      </c>
      <c r="N36" s="0" t="s">
        <v>148</v>
      </c>
      <c r="O36" s="0" t="n">
        <v>54.78</v>
      </c>
      <c r="Z36" s="0" t="n">
        <v>1507</v>
      </c>
      <c r="AF36" s="0" t="n">
        <v>17.74</v>
      </c>
      <c r="AL36" s="0" t="s">
        <v>58</v>
      </c>
      <c r="AM36" s="0" t="s">
        <v>58</v>
      </c>
      <c r="AN36" s="0" t="s">
        <v>58</v>
      </c>
      <c r="AO36" s="0" t="s">
        <v>58</v>
      </c>
      <c r="AP36" s="0" t="n">
        <v>0.18</v>
      </c>
      <c r="AV36" s="0" t="n">
        <v>9</v>
      </c>
    </row>
    <row r="37" customFormat="false" ht="15" hidden="false" customHeight="false" outlineLevel="0" collapsed="false">
      <c r="A37" s="0" t="n">
        <v>916</v>
      </c>
      <c r="B37" s="0" t="n">
        <v>2022</v>
      </c>
      <c r="C37" s="0" t="s">
        <v>149</v>
      </c>
      <c r="D37" s="0" t="s">
        <v>98</v>
      </c>
      <c r="E37" s="0" t="s">
        <v>99</v>
      </c>
      <c r="F37" s="0" t="s">
        <v>51</v>
      </c>
      <c r="G37" s="0" t="s">
        <v>52</v>
      </c>
      <c r="H37" s="0" t="s">
        <v>53</v>
      </c>
      <c r="I37" s="0" t="s">
        <v>64</v>
      </c>
      <c r="J37" s="0" t="s">
        <v>55</v>
      </c>
      <c r="K37" s="0" t="s">
        <v>56</v>
      </c>
      <c r="L37" s="0" t="n">
        <v>1818</v>
      </c>
      <c r="M37" s="0" t="n">
        <v>173</v>
      </c>
      <c r="O37" s="0" t="n">
        <v>59.2</v>
      </c>
      <c r="P37" s="0" t="n">
        <v>1091</v>
      </c>
      <c r="Q37" s="0" t="n">
        <v>727</v>
      </c>
      <c r="R37" s="0" t="n">
        <v>60.01</v>
      </c>
      <c r="S37" s="0" t="n">
        <v>39.99</v>
      </c>
      <c r="T37" s="0" t="n">
        <v>1046</v>
      </c>
      <c r="V37" s="0" t="n">
        <v>772</v>
      </c>
      <c r="W37" s="0" t="n">
        <v>57.54</v>
      </c>
      <c r="X37" s="0" t="n">
        <v>0</v>
      </c>
      <c r="Y37" s="0" t="n">
        <v>42.46</v>
      </c>
      <c r="Z37" s="0" t="n">
        <v>173</v>
      </c>
      <c r="AC37" s="0" t="n">
        <v>86</v>
      </c>
      <c r="AE37" s="0" t="n">
        <v>87</v>
      </c>
      <c r="AF37" s="0" t="n">
        <v>9.52</v>
      </c>
      <c r="AI37" s="0" t="n">
        <v>8.22</v>
      </c>
      <c r="AK37" s="0" t="n">
        <v>11.27</v>
      </c>
      <c r="AL37" s="0" t="s">
        <v>57</v>
      </c>
      <c r="AM37" s="0" t="s">
        <v>58</v>
      </c>
      <c r="AN37" s="0" t="s">
        <v>57</v>
      </c>
      <c r="AO37" s="0" t="s">
        <v>57</v>
      </c>
      <c r="AP37" s="0" t="n">
        <v>0.1</v>
      </c>
      <c r="AS37" s="0" t="n">
        <v>0.08</v>
      </c>
      <c r="AT37" s="0" t="n">
        <v>0.12</v>
      </c>
      <c r="AU37" s="0" t="n">
        <v>0.11</v>
      </c>
      <c r="AV37" s="0" t="n">
        <v>6</v>
      </c>
    </row>
    <row r="38" customFormat="false" ht="15" hidden="false" customHeight="false" outlineLevel="0" collapsed="false">
      <c r="A38" s="0" t="n">
        <v>921</v>
      </c>
      <c r="B38" s="0" t="n">
        <v>2024</v>
      </c>
      <c r="C38" s="0" t="s">
        <v>150</v>
      </c>
      <c r="D38" s="0" t="s">
        <v>113</v>
      </c>
      <c r="E38" s="0" t="s">
        <v>99</v>
      </c>
      <c r="F38" s="0" t="s">
        <v>51</v>
      </c>
      <c r="G38" s="0" t="s">
        <v>52</v>
      </c>
      <c r="H38" s="0" t="s">
        <v>53</v>
      </c>
      <c r="I38" s="0" t="s">
        <v>64</v>
      </c>
      <c r="J38" s="0" t="s">
        <v>55</v>
      </c>
      <c r="K38" s="0" t="s">
        <v>56</v>
      </c>
      <c r="L38" s="0" t="n">
        <v>461183</v>
      </c>
      <c r="M38" s="0" t="n">
        <v>65832</v>
      </c>
      <c r="O38" s="0" t="n">
        <v>41.3</v>
      </c>
      <c r="P38" s="0" t="n">
        <v>225670</v>
      </c>
      <c r="Q38" s="0" t="n">
        <v>235513</v>
      </c>
      <c r="R38" s="0" t="n">
        <v>48.93</v>
      </c>
      <c r="S38" s="0" t="n">
        <v>51.07</v>
      </c>
      <c r="T38" s="0" t="n">
        <v>241958</v>
      </c>
      <c r="U38" s="0" t="n">
        <v>22906</v>
      </c>
      <c r="V38" s="0" t="n">
        <v>81152</v>
      </c>
      <c r="W38" s="0" t="n">
        <v>52.46</v>
      </c>
      <c r="X38" s="0" t="n">
        <v>4.97</v>
      </c>
      <c r="Y38" s="0" t="n">
        <v>17.6</v>
      </c>
      <c r="Z38" s="0" t="n">
        <v>65832</v>
      </c>
      <c r="AA38" s="0" t="n">
        <v>28877</v>
      </c>
      <c r="AB38" s="0" t="n">
        <v>36955</v>
      </c>
      <c r="AC38" s="0" t="n">
        <v>33495</v>
      </c>
      <c r="AD38" s="0" t="n">
        <v>3159</v>
      </c>
      <c r="AE38" s="0" t="n">
        <v>10426</v>
      </c>
      <c r="AF38" s="0" t="n">
        <v>14.27</v>
      </c>
      <c r="AG38" s="0" t="n">
        <v>12.8</v>
      </c>
      <c r="AH38" s="0" t="n">
        <v>15.69</v>
      </c>
      <c r="AI38" s="0" t="n">
        <v>13.84</v>
      </c>
      <c r="AJ38" s="0" t="n">
        <v>13.79</v>
      </c>
      <c r="AK38" s="0" t="n">
        <v>12.85</v>
      </c>
      <c r="AL38" s="0" t="s">
        <v>57</v>
      </c>
      <c r="AM38" s="0" t="s">
        <v>57</v>
      </c>
      <c r="AN38" s="0" t="s">
        <v>57</v>
      </c>
      <c r="AO38" s="0" t="s">
        <v>57</v>
      </c>
      <c r="AP38" s="0" t="n">
        <v>0.14</v>
      </c>
      <c r="AQ38" s="0" t="n">
        <v>0.13</v>
      </c>
      <c r="AR38" s="0" t="n">
        <v>0.16</v>
      </c>
      <c r="AS38" s="0" t="n">
        <v>0.14</v>
      </c>
      <c r="AT38" s="0" t="n">
        <v>0.14</v>
      </c>
      <c r="AU38" s="0" t="n">
        <v>0.13</v>
      </c>
      <c r="AV38" s="0" t="n">
        <v>8</v>
      </c>
    </row>
    <row r="39" customFormat="false" ht="15" hidden="false" customHeight="false" outlineLevel="0" collapsed="false">
      <c r="A39" s="0" t="n">
        <v>923</v>
      </c>
      <c r="B39" s="0" t="n">
        <v>2017</v>
      </c>
      <c r="C39" s="0" t="s">
        <v>151</v>
      </c>
      <c r="D39" s="0" t="s">
        <v>152</v>
      </c>
      <c r="E39" s="0" t="s">
        <v>62</v>
      </c>
      <c r="F39" s="0" t="s">
        <v>153</v>
      </c>
      <c r="G39" s="0" t="s">
        <v>52</v>
      </c>
      <c r="H39" s="0" t="s">
        <v>59</v>
      </c>
      <c r="I39" s="0" t="s">
        <v>54</v>
      </c>
      <c r="J39" s="0" t="s">
        <v>56</v>
      </c>
      <c r="K39" s="0" t="s">
        <v>56</v>
      </c>
      <c r="L39" s="0" t="n">
        <v>3055</v>
      </c>
      <c r="M39" s="0" t="n">
        <v>144</v>
      </c>
      <c r="N39" s="0" t="s">
        <v>154</v>
      </c>
      <c r="O39" s="0" t="n">
        <v>55.4</v>
      </c>
      <c r="P39" s="0" t="n">
        <v>1497</v>
      </c>
      <c r="Q39" s="0" t="n">
        <v>1558</v>
      </c>
      <c r="R39" s="0" t="n">
        <v>49</v>
      </c>
      <c r="S39" s="0" t="n">
        <v>51</v>
      </c>
      <c r="Z39" s="0" t="n">
        <v>143.585</v>
      </c>
      <c r="AF39" s="0" t="n">
        <v>4.7</v>
      </c>
      <c r="AL39" s="0" t="s">
        <v>57</v>
      </c>
      <c r="AM39" s="0" t="s">
        <v>58</v>
      </c>
      <c r="AN39" s="0" t="s">
        <v>58</v>
      </c>
      <c r="AO39" s="0" t="s">
        <v>57</v>
      </c>
      <c r="AP39" s="0" t="n">
        <v>0.05</v>
      </c>
      <c r="AV39" s="0" t="n">
        <v>9</v>
      </c>
    </row>
    <row r="40" customFormat="false" ht="15" hidden="false" customHeight="false" outlineLevel="0" collapsed="false">
      <c r="A40" s="0" t="n">
        <v>924</v>
      </c>
      <c r="B40" s="0" t="n">
        <v>2019</v>
      </c>
      <c r="C40" s="0" t="s">
        <v>155</v>
      </c>
      <c r="D40" s="0" t="s">
        <v>156</v>
      </c>
      <c r="E40" s="0" t="s">
        <v>134</v>
      </c>
      <c r="F40" s="0" t="s">
        <v>135</v>
      </c>
      <c r="G40" s="0" t="s">
        <v>52</v>
      </c>
      <c r="H40" s="0" t="s">
        <v>53</v>
      </c>
      <c r="I40" s="0" t="s">
        <v>54</v>
      </c>
      <c r="J40" s="0" t="s">
        <v>56</v>
      </c>
      <c r="K40" s="0" t="s">
        <v>56</v>
      </c>
      <c r="L40" s="0" t="n">
        <v>1502</v>
      </c>
      <c r="M40" s="0" t="n">
        <v>154</v>
      </c>
      <c r="N40" s="0" t="s">
        <v>157</v>
      </c>
      <c r="O40" s="0" t="n">
        <v>46.9</v>
      </c>
      <c r="P40" s="0" t="n">
        <v>689</v>
      </c>
      <c r="Q40" s="0" t="n">
        <v>813</v>
      </c>
      <c r="R40" s="0" t="n">
        <v>45.87</v>
      </c>
      <c r="S40" s="0" t="n">
        <v>54.13</v>
      </c>
      <c r="Z40" s="0" t="n">
        <v>154</v>
      </c>
      <c r="AF40" s="0" t="n">
        <v>10.24</v>
      </c>
      <c r="AL40" s="0" t="s">
        <v>57</v>
      </c>
      <c r="AM40" s="0" t="s">
        <v>58</v>
      </c>
      <c r="AN40" s="0" t="s">
        <v>58</v>
      </c>
      <c r="AO40" s="0" t="s">
        <v>57</v>
      </c>
      <c r="AP40" s="0" t="n">
        <v>0.1</v>
      </c>
      <c r="AV40" s="0" t="n">
        <v>9</v>
      </c>
    </row>
    <row r="41" customFormat="false" ht="15" hidden="false" customHeight="false" outlineLevel="0" collapsed="false">
      <c r="A41" s="0" t="n">
        <v>928</v>
      </c>
      <c r="B41" s="0" t="n">
        <v>2023</v>
      </c>
      <c r="C41" s="0" t="s">
        <v>158</v>
      </c>
      <c r="D41" s="0" t="s">
        <v>106</v>
      </c>
      <c r="E41" s="0" t="s">
        <v>99</v>
      </c>
      <c r="F41" s="0" t="s">
        <v>51</v>
      </c>
      <c r="G41" s="0" t="s">
        <v>159</v>
      </c>
      <c r="H41" s="0" t="s">
        <v>53</v>
      </c>
      <c r="I41" s="0" t="s">
        <v>64</v>
      </c>
      <c r="J41" s="0" t="s">
        <v>55</v>
      </c>
      <c r="K41" s="0" t="s">
        <v>56</v>
      </c>
      <c r="L41" s="0" t="n">
        <v>7526</v>
      </c>
      <c r="M41" s="0" t="n">
        <v>471</v>
      </c>
      <c r="N41" s="0" t="s">
        <v>160</v>
      </c>
      <c r="O41" s="0" t="n">
        <v>51.9</v>
      </c>
      <c r="P41" s="0" t="n">
        <v>3597</v>
      </c>
      <c r="Q41" s="0" t="n">
        <v>3929</v>
      </c>
      <c r="R41" s="0" t="n">
        <v>47.79</v>
      </c>
      <c r="S41" s="0" t="n">
        <v>52.21</v>
      </c>
      <c r="T41" s="0" t="n">
        <v>4480</v>
      </c>
      <c r="U41" s="0" t="n">
        <v>1209</v>
      </c>
      <c r="V41" s="0" t="n">
        <v>1837</v>
      </c>
      <c r="W41" s="0" t="n">
        <v>59.53</v>
      </c>
      <c r="X41" s="0" t="n">
        <v>16.06</v>
      </c>
      <c r="Y41" s="0" t="n">
        <v>24.41</v>
      </c>
      <c r="Z41" s="0" t="n">
        <v>471</v>
      </c>
      <c r="AA41" s="0" t="n">
        <v>248</v>
      </c>
      <c r="AB41" s="0" t="n">
        <v>223</v>
      </c>
      <c r="AC41" s="0" t="n">
        <v>260</v>
      </c>
      <c r="AD41" s="0" t="n">
        <v>82</v>
      </c>
      <c r="AE41" s="0" t="n">
        <v>129</v>
      </c>
      <c r="AF41" s="0" t="n">
        <v>6.26</v>
      </c>
      <c r="AG41" s="0" t="n">
        <v>6.89</v>
      </c>
      <c r="AH41" s="0" t="n">
        <v>5.68</v>
      </c>
      <c r="AI41" s="0" t="n">
        <v>5.8</v>
      </c>
      <c r="AJ41" s="0" t="n">
        <v>6.78</v>
      </c>
      <c r="AK41" s="0" t="n">
        <v>7.02</v>
      </c>
      <c r="AL41" s="0" t="s">
        <v>57</v>
      </c>
      <c r="AM41" s="0" t="s">
        <v>57</v>
      </c>
      <c r="AN41" s="0" t="s">
        <v>57</v>
      </c>
      <c r="AO41" s="0" t="s">
        <v>57</v>
      </c>
      <c r="AP41" s="0" t="n">
        <v>0.06</v>
      </c>
      <c r="AQ41" s="0" t="n">
        <v>0.07</v>
      </c>
      <c r="AR41" s="0" t="n">
        <v>0.06</v>
      </c>
      <c r="AS41" s="0" t="n">
        <v>0.06</v>
      </c>
      <c r="AT41" s="0" t="n">
        <v>0.07</v>
      </c>
      <c r="AU41" s="0" t="n">
        <v>0.07</v>
      </c>
      <c r="AV41" s="0" t="n">
        <v>7</v>
      </c>
    </row>
    <row r="42" customFormat="false" ht="15" hidden="false" customHeight="false" outlineLevel="0" collapsed="false">
      <c r="A42" s="0" t="n">
        <v>928</v>
      </c>
      <c r="B42" s="0" t="n">
        <v>2023</v>
      </c>
      <c r="C42" s="0" t="s">
        <v>158</v>
      </c>
      <c r="D42" s="0" t="s">
        <v>106</v>
      </c>
      <c r="E42" s="0" t="s">
        <v>99</v>
      </c>
      <c r="F42" s="0" t="s">
        <v>51</v>
      </c>
      <c r="G42" s="0" t="s">
        <v>159</v>
      </c>
      <c r="H42" s="0" t="s">
        <v>59</v>
      </c>
      <c r="I42" s="0" t="s">
        <v>64</v>
      </c>
      <c r="J42" s="0" t="s">
        <v>55</v>
      </c>
      <c r="K42" s="0" t="s">
        <v>56</v>
      </c>
      <c r="L42" s="0" t="n">
        <v>7526</v>
      </c>
      <c r="M42" s="0" t="n">
        <v>487</v>
      </c>
      <c r="N42" s="0" t="s">
        <v>160</v>
      </c>
      <c r="O42" s="0" t="n">
        <v>51.9</v>
      </c>
      <c r="P42" s="0" t="n">
        <v>3597</v>
      </c>
      <c r="Q42" s="0" t="n">
        <v>3929</v>
      </c>
      <c r="R42" s="0" t="n">
        <v>47.79</v>
      </c>
      <c r="S42" s="0" t="n">
        <v>52.21</v>
      </c>
      <c r="T42" s="0" t="n">
        <v>4480</v>
      </c>
      <c r="U42" s="0" t="n">
        <v>1209</v>
      </c>
      <c r="V42" s="0" t="n">
        <v>1837</v>
      </c>
      <c r="W42" s="0" t="n">
        <v>59.53</v>
      </c>
      <c r="X42" s="0" t="n">
        <v>16.06</v>
      </c>
      <c r="Y42" s="0" t="n">
        <v>24.41</v>
      </c>
      <c r="Z42" s="0" t="n">
        <v>487</v>
      </c>
      <c r="AA42" s="0" t="n">
        <v>271</v>
      </c>
      <c r="AB42" s="0" t="n">
        <v>216</v>
      </c>
      <c r="AC42" s="0" t="n">
        <v>250</v>
      </c>
      <c r="AD42" s="0" t="n">
        <v>85</v>
      </c>
      <c r="AE42" s="0" t="n">
        <v>152</v>
      </c>
      <c r="AF42" s="0" t="n">
        <v>6.47</v>
      </c>
      <c r="AG42" s="0" t="n">
        <v>7.53</v>
      </c>
      <c r="AH42" s="0" t="n">
        <v>5.5</v>
      </c>
      <c r="AI42" s="0" t="n">
        <v>5.58</v>
      </c>
      <c r="AJ42" s="0" t="n">
        <v>7.03</v>
      </c>
      <c r="AK42" s="0" t="n">
        <v>8.27</v>
      </c>
      <c r="AL42" s="0" t="s">
        <v>57</v>
      </c>
      <c r="AM42" s="0" t="s">
        <v>57</v>
      </c>
      <c r="AN42" s="0" t="s">
        <v>57</v>
      </c>
      <c r="AO42" s="0" t="s">
        <v>57</v>
      </c>
      <c r="AP42" s="0" t="n">
        <v>0.06</v>
      </c>
      <c r="AQ42" s="0" t="n">
        <v>0.08</v>
      </c>
      <c r="AR42" s="0" t="n">
        <v>0.05</v>
      </c>
      <c r="AS42" s="0" t="n">
        <v>0.06</v>
      </c>
      <c r="AT42" s="0" t="n">
        <v>0.07</v>
      </c>
      <c r="AU42" s="0" t="n">
        <v>0.08</v>
      </c>
      <c r="AV42" s="0" t="n">
        <v>7</v>
      </c>
    </row>
    <row r="43" customFormat="false" ht="15" hidden="false" customHeight="false" outlineLevel="0" collapsed="false">
      <c r="A43" s="0" t="n">
        <v>945</v>
      </c>
      <c r="B43" s="0" t="n">
        <v>2012</v>
      </c>
      <c r="C43" s="0" t="s">
        <v>161</v>
      </c>
      <c r="D43" s="0" t="s">
        <v>162</v>
      </c>
      <c r="E43" s="0" t="s">
        <v>50</v>
      </c>
      <c r="F43" s="0" t="s">
        <v>51</v>
      </c>
      <c r="G43" s="0" t="s">
        <v>163</v>
      </c>
      <c r="H43" s="0" t="s">
        <v>53</v>
      </c>
      <c r="I43" s="0" t="s">
        <v>54</v>
      </c>
      <c r="J43" s="0" t="s">
        <v>55</v>
      </c>
      <c r="K43" s="0" t="s">
        <v>56</v>
      </c>
      <c r="L43" s="0" t="n">
        <v>3802</v>
      </c>
      <c r="M43" s="0" t="n">
        <v>481</v>
      </c>
      <c r="N43" s="0" t="s">
        <v>164</v>
      </c>
      <c r="O43" s="0" t="n">
        <v>56.6</v>
      </c>
      <c r="P43" s="0" t="n">
        <v>1797</v>
      </c>
      <c r="Q43" s="0" t="n">
        <v>2005</v>
      </c>
      <c r="R43" s="0" t="n">
        <v>47.26</v>
      </c>
      <c r="S43" s="0" t="n">
        <v>52.74</v>
      </c>
      <c r="T43" s="0" t="n">
        <v>1635</v>
      </c>
      <c r="U43" s="0" t="n">
        <v>1174</v>
      </c>
      <c r="V43" s="0" t="n">
        <v>989</v>
      </c>
      <c r="W43" s="0" t="n">
        <v>43</v>
      </c>
      <c r="X43" s="0" t="n">
        <v>30.88</v>
      </c>
      <c r="Y43" s="0" t="n">
        <v>26.01</v>
      </c>
      <c r="Z43" s="0" t="n">
        <v>481</v>
      </c>
      <c r="AA43" s="0" t="n">
        <v>273</v>
      </c>
      <c r="AB43" s="0" t="n">
        <v>208</v>
      </c>
      <c r="AC43" s="0" t="n">
        <v>222</v>
      </c>
      <c r="AD43" s="0" t="n">
        <v>160</v>
      </c>
      <c r="AE43" s="0" t="n">
        <v>98</v>
      </c>
      <c r="AF43" s="0" t="n">
        <v>12.65</v>
      </c>
      <c r="AG43" s="0" t="n">
        <v>15.19</v>
      </c>
      <c r="AH43" s="0" t="n">
        <v>10.37</v>
      </c>
      <c r="AI43" s="0" t="n">
        <v>13.58</v>
      </c>
      <c r="AJ43" s="0" t="n">
        <v>13.63</v>
      </c>
      <c r="AK43" s="0" t="n">
        <v>9.91</v>
      </c>
      <c r="AL43" s="0" t="s">
        <v>57</v>
      </c>
      <c r="AM43" s="0" t="s">
        <v>57</v>
      </c>
      <c r="AN43" s="0" t="s">
        <v>57</v>
      </c>
      <c r="AO43" s="0" t="s">
        <v>57</v>
      </c>
      <c r="AP43" s="0" t="n">
        <v>0.13</v>
      </c>
      <c r="AQ43" s="0" t="n">
        <v>0.15</v>
      </c>
      <c r="AR43" s="0" t="n">
        <v>0.1</v>
      </c>
      <c r="AS43" s="0" t="n">
        <v>0.14</v>
      </c>
      <c r="AT43" s="0" t="n">
        <v>0.14</v>
      </c>
      <c r="AU43" s="0" t="n">
        <v>0.1</v>
      </c>
      <c r="AV43" s="0" t="n">
        <v>9</v>
      </c>
    </row>
    <row r="44" customFormat="false" ht="15" hidden="false" customHeight="false" outlineLevel="0" collapsed="false">
      <c r="A44" s="0" t="n">
        <v>950</v>
      </c>
      <c r="B44" s="0" t="n">
        <v>2015</v>
      </c>
      <c r="C44" s="0" t="s">
        <v>165</v>
      </c>
      <c r="D44" s="0" t="s">
        <v>166</v>
      </c>
      <c r="E44" s="0" t="s">
        <v>62</v>
      </c>
      <c r="F44" s="0" t="s">
        <v>153</v>
      </c>
      <c r="G44" s="0" t="s">
        <v>167</v>
      </c>
      <c r="H44" s="0" t="s">
        <v>53</v>
      </c>
      <c r="I44" s="0" t="s">
        <v>54</v>
      </c>
      <c r="J44" s="0" t="s">
        <v>56</v>
      </c>
      <c r="K44" s="0" t="s">
        <v>56</v>
      </c>
      <c r="L44" s="0" t="n">
        <v>374</v>
      </c>
      <c r="M44" s="0" t="n">
        <v>37</v>
      </c>
      <c r="N44" s="0" t="s">
        <v>168</v>
      </c>
      <c r="O44" s="0" t="n">
        <v>41</v>
      </c>
      <c r="P44" s="0" t="n">
        <v>91</v>
      </c>
      <c r="Q44" s="0" t="n">
        <v>283</v>
      </c>
      <c r="R44" s="0" t="n">
        <v>24.33</v>
      </c>
      <c r="S44" s="0" t="n">
        <v>75.67</v>
      </c>
      <c r="Z44" s="0" t="n">
        <v>37</v>
      </c>
      <c r="AA44" s="0" t="n">
        <v>10</v>
      </c>
      <c r="AB44" s="0" t="n">
        <v>27</v>
      </c>
      <c r="AF44" s="0" t="n">
        <v>9.89</v>
      </c>
      <c r="AG44" s="0" t="n">
        <v>10.98</v>
      </c>
      <c r="AH44" s="0" t="n">
        <v>9.54</v>
      </c>
      <c r="AL44" s="0" t="s">
        <v>57</v>
      </c>
      <c r="AM44" s="0" t="s">
        <v>57</v>
      </c>
      <c r="AN44" s="0" t="s">
        <v>58</v>
      </c>
      <c r="AO44" s="0" t="s">
        <v>57</v>
      </c>
      <c r="AP44" s="0" t="n">
        <v>0.1</v>
      </c>
      <c r="AQ44" s="0" t="n">
        <v>0.11</v>
      </c>
      <c r="AR44" s="0" t="n">
        <v>0.1</v>
      </c>
      <c r="AV44" s="0" t="n">
        <v>6</v>
      </c>
    </row>
    <row r="45" customFormat="false" ht="15" hidden="false" customHeight="false" outlineLevel="0" collapsed="false">
      <c r="A45" s="0" t="n">
        <v>995</v>
      </c>
      <c r="B45" s="0" t="n">
        <v>2022</v>
      </c>
      <c r="C45" s="0" t="s">
        <v>169</v>
      </c>
      <c r="D45" s="0" t="s">
        <v>98</v>
      </c>
      <c r="E45" s="0" t="s">
        <v>99</v>
      </c>
      <c r="F45" s="0" t="s">
        <v>51</v>
      </c>
      <c r="G45" s="0" t="s">
        <v>170</v>
      </c>
      <c r="H45" s="0" t="s">
        <v>53</v>
      </c>
      <c r="I45" s="0" t="s">
        <v>64</v>
      </c>
      <c r="J45" s="0" t="s">
        <v>55</v>
      </c>
      <c r="K45" s="0" t="s">
        <v>56</v>
      </c>
      <c r="L45" s="0" t="n">
        <v>10139</v>
      </c>
      <c r="M45" s="0" t="n">
        <v>706</v>
      </c>
      <c r="O45" s="0" t="n">
        <v>55.3</v>
      </c>
      <c r="P45" s="0" t="n">
        <v>5536</v>
      </c>
      <c r="Q45" s="0" t="n">
        <v>5292</v>
      </c>
      <c r="R45" s="0" t="n">
        <v>54.6</v>
      </c>
      <c r="S45" s="0" t="n">
        <v>52.19</v>
      </c>
      <c r="T45" s="0" t="n">
        <v>6485</v>
      </c>
      <c r="U45" s="0" t="n">
        <v>2252</v>
      </c>
      <c r="V45" s="0" t="n">
        <v>1402</v>
      </c>
      <c r="W45" s="0" t="n">
        <v>63.96</v>
      </c>
      <c r="X45" s="0" t="n">
        <v>22.21</v>
      </c>
      <c r="Y45" s="0" t="n">
        <v>13.83</v>
      </c>
      <c r="Z45" s="0" t="n">
        <v>706</v>
      </c>
      <c r="AA45" s="0" t="n">
        <v>380</v>
      </c>
      <c r="AB45" s="0" t="n">
        <v>326</v>
      </c>
      <c r="AC45" s="0" t="n">
        <v>434</v>
      </c>
      <c r="AD45" s="0" t="n">
        <v>149</v>
      </c>
      <c r="AE45" s="0" t="n">
        <v>123</v>
      </c>
      <c r="AF45" s="0" t="n">
        <v>6.96</v>
      </c>
      <c r="AG45" s="0" t="n">
        <v>6.86</v>
      </c>
      <c r="AH45" s="0" t="n">
        <v>6.16</v>
      </c>
      <c r="AI45" s="0" t="n">
        <v>6.69</v>
      </c>
      <c r="AJ45" s="0" t="n">
        <v>6.62</v>
      </c>
      <c r="AK45" s="0" t="n">
        <v>8.77</v>
      </c>
      <c r="AL45" s="0" t="s">
        <v>57</v>
      </c>
      <c r="AM45" s="0" t="s">
        <v>57</v>
      </c>
      <c r="AN45" s="0" t="s">
        <v>57</v>
      </c>
      <c r="AO45" s="0" t="s">
        <v>57</v>
      </c>
      <c r="AP45" s="0" t="n">
        <v>0.07</v>
      </c>
      <c r="AQ45" s="0" t="n">
        <v>0.07</v>
      </c>
      <c r="AR45" s="0" t="n">
        <v>0.06</v>
      </c>
      <c r="AS45" s="0" t="n">
        <v>0.07</v>
      </c>
      <c r="AT45" s="0" t="n">
        <v>0.07</v>
      </c>
      <c r="AU45" s="0" t="n">
        <v>0.09</v>
      </c>
      <c r="AV45" s="0" t="n">
        <v>5</v>
      </c>
    </row>
    <row r="46" customFormat="false" ht="15" hidden="false" customHeight="false" outlineLevel="0" collapsed="false">
      <c r="A46" s="0" t="n">
        <v>1015</v>
      </c>
      <c r="B46" s="0" t="n">
        <v>2023</v>
      </c>
      <c r="C46" s="0" t="s">
        <v>171</v>
      </c>
      <c r="D46" s="0" t="s">
        <v>61</v>
      </c>
      <c r="E46" s="0" t="s">
        <v>62</v>
      </c>
      <c r="F46" s="0" t="s">
        <v>51</v>
      </c>
      <c r="G46" s="0" t="s">
        <v>172</v>
      </c>
      <c r="H46" s="0" t="s">
        <v>53</v>
      </c>
      <c r="I46" s="0" t="s">
        <v>64</v>
      </c>
      <c r="J46" s="0" t="s">
        <v>56</v>
      </c>
      <c r="K46" s="0" t="s">
        <v>56</v>
      </c>
      <c r="L46" s="0" t="n">
        <v>5055</v>
      </c>
      <c r="M46" s="0" t="n">
        <v>685</v>
      </c>
      <c r="O46" s="0" t="n">
        <v>57.6</v>
      </c>
      <c r="P46" s="0" t="n">
        <v>2929</v>
      </c>
      <c r="Q46" s="0" t="n">
        <v>2126</v>
      </c>
      <c r="R46" s="0" t="n">
        <v>57.94</v>
      </c>
      <c r="S46" s="0" t="n">
        <v>42.06</v>
      </c>
      <c r="U46" s="0" t="n">
        <v>3090</v>
      </c>
      <c r="V46" s="0" t="n">
        <v>1965</v>
      </c>
      <c r="Y46" s="0" t="n">
        <v>38.87</v>
      </c>
      <c r="Z46" s="0" t="n">
        <v>685</v>
      </c>
      <c r="AD46" s="0" t="n">
        <v>242</v>
      </c>
      <c r="AE46" s="0" t="n">
        <v>443</v>
      </c>
      <c r="AF46" s="0" t="n">
        <v>13.55</v>
      </c>
      <c r="AJ46" s="0" t="n">
        <v>7.83</v>
      </c>
      <c r="AK46" s="0" t="n">
        <v>22.54</v>
      </c>
      <c r="AL46" s="0" t="s">
        <v>58</v>
      </c>
      <c r="AM46" s="0" t="s">
        <v>58</v>
      </c>
      <c r="AN46" s="0" t="s">
        <v>57</v>
      </c>
      <c r="AO46" s="0" t="s">
        <v>58</v>
      </c>
      <c r="AP46" s="0" t="n">
        <v>0.14</v>
      </c>
      <c r="AT46" s="0" t="n">
        <v>0.08</v>
      </c>
      <c r="AU46" s="0" t="n">
        <v>0.23</v>
      </c>
      <c r="AV46" s="0" t="n">
        <v>6</v>
      </c>
    </row>
    <row r="47" customFormat="false" ht="15" hidden="false" customHeight="false" outlineLevel="0" collapsed="false">
      <c r="A47" s="0" t="n">
        <v>1059</v>
      </c>
      <c r="B47" s="0" t="n">
        <v>2021</v>
      </c>
      <c r="C47" s="0" t="s">
        <v>173</v>
      </c>
      <c r="D47" s="0" t="s">
        <v>61</v>
      </c>
      <c r="E47" s="0" t="s">
        <v>62</v>
      </c>
      <c r="F47" s="0" t="s">
        <v>51</v>
      </c>
      <c r="G47" s="0" t="s">
        <v>174</v>
      </c>
      <c r="H47" s="0" t="s">
        <v>53</v>
      </c>
      <c r="I47" s="0" t="s">
        <v>64</v>
      </c>
      <c r="J47" s="0" t="s">
        <v>55</v>
      </c>
      <c r="K47" s="0" t="s">
        <v>56</v>
      </c>
      <c r="L47" s="0" t="n">
        <v>53701</v>
      </c>
      <c r="M47" s="0" t="n">
        <v>4582</v>
      </c>
      <c r="N47" s="0" t="s">
        <v>175</v>
      </c>
      <c r="O47" s="0" t="n">
        <v>53.2</v>
      </c>
      <c r="P47" s="0" t="n">
        <v>23414</v>
      </c>
      <c r="Q47" s="0" t="n">
        <v>30287</v>
      </c>
      <c r="R47" s="0" t="n">
        <v>43.6</v>
      </c>
      <c r="S47" s="0" t="n">
        <v>56.4</v>
      </c>
      <c r="T47" s="0" t="n">
        <v>26045</v>
      </c>
      <c r="U47" s="0" t="n">
        <v>16667</v>
      </c>
      <c r="V47" s="0" t="n">
        <v>10989</v>
      </c>
      <c r="W47" s="0" t="n">
        <v>48.5</v>
      </c>
      <c r="X47" s="0" t="n">
        <v>31.04</v>
      </c>
      <c r="Y47" s="0" t="n">
        <v>20.46</v>
      </c>
      <c r="Z47" s="0" t="n">
        <v>4582</v>
      </c>
      <c r="AA47" s="0" t="n">
        <v>1818</v>
      </c>
      <c r="AB47" s="0" t="n">
        <v>2764</v>
      </c>
      <c r="AC47" s="0" t="n">
        <v>2091</v>
      </c>
      <c r="AD47" s="0" t="n">
        <v>1338</v>
      </c>
      <c r="AE47" s="0" t="n">
        <v>1153</v>
      </c>
      <c r="AF47" s="0" t="n">
        <v>8.53</v>
      </c>
      <c r="AG47" s="0" t="n">
        <v>7.76</v>
      </c>
      <c r="AH47" s="0" t="n">
        <v>9.13</v>
      </c>
      <c r="AI47" s="0" t="n">
        <v>8.03</v>
      </c>
      <c r="AJ47" s="0" t="n">
        <v>8.03</v>
      </c>
      <c r="AK47" s="0" t="n">
        <v>10.49</v>
      </c>
      <c r="AL47" s="0" t="s">
        <v>57</v>
      </c>
      <c r="AM47" s="0" t="s">
        <v>57</v>
      </c>
      <c r="AN47" s="0" t="s">
        <v>57</v>
      </c>
      <c r="AO47" s="0" t="s">
        <v>57</v>
      </c>
      <c r="AP47" s="0" t="n">
        <v>0.09</v>
      </c>
      <c r="AQ47" s="0" t="n">
        <v>0.08</v>
      </c>
      <c r="AR47" s="0" t="n">
        <v>0.09</v>
      </c>
      <c r="AS47" s="0" t="n">
        <v>0.08</v>
      </c>
      <c r="AT47" s="0" t="n">
        <v>0.08</v>
      </c>
      <c r="AU47" s="0" t="n">
        <v>0.1</v>
      </c>
      <c r="AV47" s="0" t="n">
        <v>6</v>
      </c>
    </row>
    <row r="48" customFormat="false" ht="15" hidden="false" customHeight="false" outlineLevel="0" collapsed="false">
      <c r="A48" s="0" t="n">
        <v>1062</v>
      </c>
      <c r="B48" s="0" t="n">
        <v>2014</v>
      </c>
      <c r="C48" s="0" t="s">
        <v>176</v>
      </c>
      <c r="D48" s="0" t="s">
        <v>61</v>
      </c>
      <c r="E48" s="0" t="s">
        <v>62</v>
      </c>
      <c r="F48" s="0" t="s">
        <v>51</v>
      </c>
      <c r="G48" s="0" t="s">
        <v>172</v>
      </c>
      <c r="H48" s="0" t="s">
        <v>53</v>
      </c>
      <c r="I48" s="0" t="s">
        <v>64</v>
      </c>
      <c r="J48" s="0" t="s">
        <v>56</v>
      </c>
      <c r="K48" s="0" t="s">
        <v>56</v>
      </c>
      <c r="L48" s="0" t="n">
        <v>10192</v>
      </c>
      <c r="M48" s="0" t="n">
        <v>1257</v>
      </c>
      <c r="N48" s="0" t="s">
        <v>177</v>
      </c>
      <c r="O48" s="0" t="n">
        <v>59.6</v>
      </c>
      <c r="P48" s="0" t="n">
        <v>4952</v>
      </c>
      <c r="Q48" s="0" t="n">
        <v>5240</v>
      </c>
      <c r="R48" s="0" t="n">
        <v>48.59</v>
      </c>
      <c r="S48" s="0" t="n">
        <v>51.41</v>
      </c>
      <c r="U48" s="0" t="n">
        <v>5269</v>
      </c>
      <c r="V48" s="0" t="n">
        <v>4923</v>
      </c>
      <c r="X48" s="0" t="n">
        <v>51.7</v>
      </c>
      <c r="Y48" s="0" t="n">
        <v>48.31</v>
      </c>
      <c r="Z48" s="0" t="n">
        <v>1257</v>
      </c>
      <c r="AA48" s="0" t="n">
        <v>579</v>
      </c>
      <c r="AB48" s="0" t="n">
        <v>678</v>
      </c>
      <c r="AD48" s="0" t="n">
        <v>455</v>
      </c>
      <c r="AE48" s="0" t="n">
        <v>802</v>
      </c>
      <c r="AF48" s="0" t="n">
        <v>12.33</v>
      </c>
      <c r="AG48" s="0" t="n">
        <v>11.7</v>
      </c>
      <c r="AH48" s="0" t="n">
        <v>12.94</v>
      </c>
      <c r="AJ48" s="0" t="n">
        <v>8.64</v>
      </c>
      <c r="AK48" s="0" t="n">
        <v>16.29</v>
      </c>
      <c r="AL48" s="0" t="s">
        <v>58</v>
      </c>
      <c r="AM48" s="0" t="s">
        <v>58</v>
      </c>
      <c r="AN48" s="0" t="s">
        <v>57</v>
      </c>
      <c r="AO48" s="0" t="s">
        <v>58</v>
      </c>
      <c r="AP48" s="0" t="n">
        <v>0.12</v>
      </c>
      <c r="AQ48" s="0" t="n">
        <v>0.12</v>
      </c>
      <c r="AR48" s="0" t="n">
        <v>0.13</v>
      </c>
      <c r="AT48" s="0" t="n">
        <v>0.09</v>
      </c>
      <c r="AU48" s="0" t="n">
        <v>0.16</v>
      </c>
      <c r="AV48" s="0" t="n">
        <v>6</v>
      </c>
    </row>
    <row r="49" customFormat="false" ht="15" hidden="false" customHeight="false" outlineLevel="0" collapsed="false">
      <c r="A49" s="0" t="n">
        <v>1062</v>
      </c>
      <c r="B49" s="0" t="n">
        <v>2014</v>
      </c>
      <c r="C49" s="0" t="s">
        <v>176</v>
      </c>
      <c r="D49" s="0" t="s">
        <v>61</v>
      </c>
      <c r="E49" s="0" t="s">
        <v>62</v>
      </c>
      <c r="F49" s="0" t="s">
        <v>51</v>
      </c>
      <c r="G49" s="0" t="s">
        <v>172</v>
      </c>
      <c r="H49" s="0" t="s">
        <v>59</v>
      </c>
      <c r="I49" s="0" t="s">
        <v>64</v>
      </c>
      <c r="J49" s="0" t="s">
        <v>56</v>
      </c>
      <c r="K49" s="0" t="s">
        <v>56</v>
      </c>
      <c r="L49" s="0" t="n">
        <v>9492</v>
      </c>
      <c r="M49" s="0" t="n">
        <v>1082</v>
      </c>
      <c r="N49" s="0" t="s">
        <v>177</v>
      </c>
      <c r="O49" s="0" t="n">
        <v>59.6</v>
      </c>
      <c r="P49" s="0" t="n">
        <v>5122</v>
      </c>
      <c r="Q49" s="0" t="n">
        <v>4370</v>
      </c>
      <c r="R49" s="0" t="n">
        <v>53.96</v>
      </c>
      <c r="S49" s="0" t="n">
        <v>46.04</v>
      </c>
      <c r="U49" s="0" t="n">
        <v>4510</v>
      </c>
      <c r="V49" s="0" t="n">
        <v>4982</v>
      </c>
      <c r="X49" s="0" t="n">
        <v>47.51</v>
      </c>
      <c r="Y49" s="0" t="n">
        <v>52.49</v>
      </c>
      <c r="Z49" s="0" t="n">
        <v>1082</v>
      </c>
      <c r="AD49" s="0" t="n">
        <v>422</v>
      </c>
      <c r="AE49" s="0" t="n">
        <v>660</v>
      </c>
      <c r="AF49" s="0" t="n">
        <v>11.4</v>
      </c>
      <c r="AJ49" s="0" t="n">
        <v>9.36</v>
      </c>
      <c r="AK49" s="0" t="n">
        <v>13.25</v>
      </c>
      <c r="AL49" s="0" t="s">
        <v>58</v>
      </c>
      <c r="AM49" s="0" t="s">
        <v>58</v>
      </c>
      <c r="AN49" s="0" t="s">
        <v>57</v>
      </c>
      <c r="AO49" s="0" t="s">
        <v>58</v>
      </c>
      <c r="AP49" s="0" t="n">
        <v>0.11</v>
      </c>
      <c r="AT49" s="0" t="n">
        <v>0.09</v>
      </c>
      <c r="AU49" s="0" t="n">
        <v>0.13</v>
      </c>
      <c r="AV49" s="0" t="n">
        <v>6</v>
      </c>
    </row>
    <row r="50" customFormat="false" ht="15" hidden="false" customHeight="false" outlineLevel="0" collapsed="false">
      <c r="A50" s="0" t="n">
        <v>1068</v>
      </c>
      <c r="B50" s="0" t="n">
        <v>2024</v>
      </c>
      <c r="C50" s="0" t="s">
        <v>178</v>
      </c>
      <c r="D50" s="0" t="s">
        <v>61</v>
      </c>
      <c r="E50" s="0" t="s">
        <v>62</v>
      </c>
      <c r="F50" s="0" t="s">
        <v>51</v>
      </c>
      <c r="G50" s="0" t="s">
        <v>63</v>
      </c>
      <c r="H50" s="0" t="s">
        <v>53</v>
      </c>
      <c r="I50" s="0" t="s">
        <v>54</v>
      </c>
      <c r="J50" s="0" t="s">
        <v>55</v>
      </c>
      <c r="K50" s="0" t="s">
        <v>56</v>
      </c>
      <c r="L50" s="0" t="n">
        <v>4338</v>
      </c>
      <c r="M50" s="0" t="n">
        <v>320</v>
      </c>
      <c r="N50" s="0" t="s">
        <v>179</v>
      </c>
      <c r="O50" s="0" t="n">
        <v>45.9</v>
      </c>
      <c r="P50" s="0" t="n">
        <v>2213</v>
      </c>
      <c r="Q50" s="0" t="n">
        <v>2125</v>
      </c>
      <c r="R50" s="0" t="n">
        <v>51</v>
      </c>
      <c r="S50" s="0" t="n">
        <v>49</v>
      </c>
      <c r="T50" s="0" t="n">
        <v>2380</v>
      </c>
      <c r="U50" s="0" t="n">
        <v>977</v>
      </c>
      <c r="V50" s="0" t="n">
        <v>981</v>
      </c>
      <c r="W50" s="0" t="n">
        <v>54.86</v>
      </c>
      <c r="X50" s="0" t="n">
        <v>22.52</v>
      </c>
      <c r="Y50" s="0" t="n">
        <v>22.61</v>
      </c>
      <c r="Z50" s="0" t="n">
        <v>320</v>
      </c>
      <c r="AA50" s="0" t="n">
        <v>175</v>
      </c>
      <c r="AB50" s="0" t="n">
        <v>145</v>
      </c>
      <c r="AC50" s="0" t="n">
        <v>166</v>
      </c>
      <c r="AD50" s="0" t="n">
        <v>90</v>
      </c>
      <c r="AE50" s="0" t="n">
        <v>64</v>
      </c>
      <c r="AF50" s="0" t="n">
        <v>7.38</v>
      </c>
      <c r="AG50" s="0" t="n">
        <v>7.91</v>
      </c>
      <c r="AH50" s="0" t="n">
        <v>6.82</v>
      </c>
      <c r="AI50" s="0" t="n">
        <v>6.97</v>
      </c>
      <c r="AJ50" s="0" t="n">
        <v>9.21</v>
      </c>
      <c r="AK50" s="0" t="n">
        <v>6.52</v>
      </c>
      <c r="AL50" s="0" t="s">
        <v>57</v>
      </c>
      <c r="AM50" s="0" t="s">
        <v>57</v>
      </c>
      <c r="AN50" s="0" t="s">
        <v>57</v>
      </c>
      <c r="AO50" s="0" t="s">
        <v>58</v>
      </c>
      <c r="AP50" s="0" t="n">
        <v>0.07</v>
      </c>
      <c r="AQ50" s="0" t="n">
        <v>0.08</v>
      </c>
      <c r="AR50" s="0" t="n">
        <v>0.07</v>
      </c>
      <c r="AS50" s="0" t="n">
        <v>0.07</v>
      </c>
      <c r="AT50" s="0" t="n">
        <v>0.09</v>
      </c>
      <c r="AU50" s="0" t="n">
        <v>0.07</v>
      </c>
      <c r="AV50" s="0" t="n">
        <v>7</v>
      </c>
    </row>
    <row r="51" customFormat="false" ht="15" hidden="false" customHeight="false" outlineLevel="0" collapsed="false">
      <c r="A51" s="0" t="n">
        <v>1088</v>
      </c>
      <c r="B51" s="0" t="n">
        <v>2020</v>
      </c>
      <c r="C51" s="0" t="s">
        <v>180</v>
      </c>
      <c r="D51" s="0" t="s">
        <v>181</v>
      </c>
      <c r="E51" s="0" t="s">
        <v>50</v>
      </c>
      <c r="F51" s="0" t="s">
        <v>51</v>
      </c>
      <c r="G51" s="0" t="s">
        <v>182</v>
      </c>
      <c r="H51" s="0" t="s">
        <v>53</v>
      </c>
      <c r="I51" s="0" t="s">
        <v>64</v>
      </c>
      <c r="J51" s="0" t="s">
        <v>55</v>
      </c>
      <c r="K51" s="0" t="s">
        <v>56</v>
      </c>
      <c r="L51" s="0" t="n">
        <v>5487</v>
      </c>
      <c r="M51" s="0" t="n">
        <v>387</v>
      </c>
      <c r="N51" s="0" t="s">
        <v>183</v>
      </c>
      <c r="O51" s="0" t="n">
        <v>68.8</v>
      </c>
      <c r="P51" s="0" t="n">
        <v>2418</v>
      </c>
      <c r="Q51" s="0" t="n">
        <v>3069</v>
      </c>
      <c r="R51" s="0" t="n">
        <v>44.1</v>
      </c>
      <c r="S51" s="0" t="n">
        <v>55.9</v>
      </c>
      <c r="T51" s="0" t="n">
        <v>1849</v>
      </c>
      <c r="U51" s="0" t="n">
        <v>2965</v>
      </c>
      <c r="V51" s="0" t="n">
        <v>673</v>
      </c>
      <c r="W51" s="0" t="n">
        <v>33.7</v>
      </c>
      <c r="X51" s="0" t="n">
        <v>54.04</v>
      </c>
      <c r="Y51" s="0" t="n">
        <v>12.27</v>
      </c>
      <c r="Z51" s="0" t="n">
        <v>387</v>
      </c>
      <c r="AA51" s="0" t="n">
        <v>163</v>
      </c>
      <c r="AB51" s="0" t="n">
        <v>224</v>
      </c>
      <c r="AC51" s="0" t="n">
        <v>119</v>
      </c>
      <c r="AD51" s="0" t="n">
        <v>214</v>
      </c>
      <c r="AE51" s="0" t="n">
        <v>54</v>
      </c>
      <c r="AF51" s="0" t="n">
        <v>7.05</v>
      </c>
      <c r="AG51" s="0" t="n">
        <v>6.74</v>
      </c>
      <c r="AH51" s="0" t="n">
        <v>7.3</v>
      </c>
      <c r="AI51" s="0" t="n">
        <v>6.44</v>
      </c>
      <c r="AJ51" s="0" t="n">
        <v>7.22</v>
      </c>
      <c r="AK51" s="0" t="n">
        <v>8.02</v>
      </c>
      <c r="AL51" s="0" t="s">
        <v>57</v>
      </c>
      <c r="AM51" s="0" t="s">
        <v>57</v>
      </c>
      <c r="AN51" s="0" t="s">
        <v>57</v>
      </c>
      <c r="AO51" s="0" t="s">
        <v>57</v>
      </c>
      <c r="AP51" s="0" t="n">
        <v>0.07</v>
      </c>
      <c r="AQ51" s="0" t="n">
        <v>0.07</v>
      </c>
      <c r="AR51" s="0" t="n">
        <v>0.07</v>
      </c>
      <c r="AS51" s="0" t="n">
        <v>0.06</v>
      </c>
      <c r="AT51" s="0" t="n">
        <v>0.07</v>
      </c>
      <c r="AU51" s="0" t="n">
        <v>0.08</v>
      </c>
      <c r="AV51" s="0" t="n">
        <v>9</v>
      </c>
    </row>
    <row r="52" customFormat="false" ht="15" hidden="false" customHeight="false" outlineLevel="0" collapsed="false">
      <c r="A52" s="0" t="n">
        <v>1113</v>
      </c>
      <c r="B52" s="0" t="n">
        <v>2024</v>
      </c>
      <c r="C52" s="0" t="s">
        <v>184</v>
      </c>
      <c r="D52" s="0" t="s">
        <v>185</v>
      </c>
      <c r="E52" s="0" t="s">
        <v>99</v>
      </c>
      <c r="F52" s="0" t="s">
        <v>153</v>
      </c>
      <c r="G52" s="0" t="s">
        <v>52</v>
      </c>
      <c r="H52" s="0" t="s">
        <v>53</v>
      </c>
      <c r="I52" s="0" t="s">
        <v>64</v>
      </c>
      <c r="J52" s="0" t="s">
        <v>55</v>
      </c>
      <c r="K52" s="0" t="s">
        <v>56</v>
      </c>
      <c r="L52" s="0" t="n">
        <v>6994</v>
      </c>
      <c r="M52" s="0" t="n">
        <v>1997</v>
      </c>
      <c r="N52" s="0" t="s">
        <v>186</v>
      </c>
      <c r="O52" s="0" t="n">
        <v>49.21</v>
      </c>
      <c r="P52" s="0" t="n">
        <v>3364</v>
      </c>
      <c r="Q52" s="0" t="n">
        <v>3630</v>
      </c>
      <c r="R52" s="0" t="n">
        <v>48.1</v>
      </c>
      <c r="S52" s="0" t="n">
        <v>51.9</v>
      </c>
      <c r="T52" s="0" t="n">
        <v>5408</v>
      </c>
      <c r="U52" s="0" t="n">
        <v>195</v>
      </c>
      <c r="V52" s="0" t="n">
        <v>1391</v>
      </c>
      <c r="W52" s="0" t="n">
        <v>77.32</v>
      </c>
      <c r="X52" s="0" t="n">
        <v>2.79</v>
      </c>
      <c r="Y52" s="0" t="n">
        <v>19.89</v>
      </c>
      <c r="Z52" s="0" t="n">
        <v>1997</v>
      </c>
      <c r="AA52" s="0" t="n">
        <v>1137</v>
      </c>
      <c r="AB52" s="0" t="n">
        <v>860</v>
      </c>
      <c r="AC52" s="0" t="n">
        <v>1479</v>
      </c>
      <c r="AD52" s="0" t="n">
        <v>48</v>
      </c>
      <c r="AE52" s="0" t="n">
        <v>470</v>
      </c>
      <c r="AF52" s="0" t="n">
        <v>28.55</v>
      </c>
      <c r="AG52" s="0" t="n">
        <v>33.8</v>
      </c>
      <c r="AH52" s="0" t="n">
        <v>23.69</v>
      </c>
      <c r="AI52" s="0" t="n">
        <v>27.35</v>
      </c>
      <c r="AJ52" s="0" t="n">
        <v>24.62</v>
      </c>
      <c r="AK52" s="0" t="n">
        <v>33.79</v>
      </c>
      <c r="AL52" s="0" t="s">
        <v>57</v>
      </c>
      <c r="AM52" s="0" t="s">
        <v>57</v>
      </c>
      <c r="AN52" s="0" t="s">
        <v>57</v>
      </c>
      <c r="AO52" s="0" t="s">
        <v>57</v>
      </c>
      <c r="AP52" s="0" t="n">
        <v>0.29</v>
      </c>
      <c r="AQ52" s="0" t="n">
        <v>0.34</v>
      </c>
      <c r="AR52" s="0" t="n">
        <v>0.24</v>
      </c>
      <c r="AS52" s="0" t="n">
        <v>0.27</v>
      </c>
      <c r="AT52" s="0" t="n">
        <v>0.25</v>
      </c>
      <c r="AU52" s="0" t="n">
        <v>0.34</v>
      </c>
      <c r="AV52" s="0" t="n">
        <v>7</v>
      </c>
    </row>
    <row r="53" customFormat="false" ht="15" hidden="false" customHeight="false" outlineLevel="0" collapsed="false">
      <c r="A53" s="0" t="n">
        <v>1115</v>
      </c>
      <c r="B53" s="0" t="n">
        <v>2022</v>
      </c>
      <c r="C53" s="0" t="s">
        <v>187</v>
      </c>
      <c r="D53" s="0" t="s">
        <v>185</v>
      </c>
      <c r="E53" s="0" t="s">
        <v>99</v>
      </c>
      <c r="F53" s="0" t="s">
        <v>153</v>
      </c>
      <c r="G53" s="0" t="s">
        <v>188</v>
      </c>
      <c r="H53" s="0" t="s">
        <v>53</v>
      </c>
      <c r="I53" s="0" t="s">
        <v>54</v>
      </c>
      <c r="J53" s="0" t="s">
        <v>55</v>
      </c>
      <c r="K53" s="0" t="s">
        <v>56</v>
      </c>
      <c r="L53" s="0" t="n">
        <v>4955</v>
      </c>
      <c r="M53" s="0" t="n">
        <v>1160</v>
      </c>
      <c r="N53" s="0" t="s">
        <v>189</v>
      </c>
      <c r="O53" s="0" t="n">
        <v>52.5</v>
      </c>
      <c r="Z53" s="0" t="n">
        <v>1160</v>
      </c>
      <c r="AF53" s="0" t="n">
        <v>23.41</v>
      </c>
      <c r="AL53" s="0" t="s">
        <v>57</v>
      </c>
      <c r="AM53" s="0" t="s">
        <v>58</v>
      </c>
      <c r="AN53" s="0" t="s">
        <v>58</v>
      </c>
      <c r="AO53" s="0" t="s">
        <v>57</v>
      </c>
      <c r="AP53" s="0" t="n">
        <v>0.23</v>
      </c>
      <c r="AV53" s="0" t="n">
        <v>8</v>
      </c>
    </row>
    <row r="54" customFormat="false" ht="15" hidden="false" customHeight="false" outlineLevel="0" collapsed="false">
      <c r="A54" s="0" t="n">
        <v>1117</v>
      </c>
      <c r="B54" s="0" t="n">
        <v>2005</v>
      </c>
      <c r="C54" s="0" t="s">
        <v>190</v>
      </c>
      <c r="D54" s="0" t="s">
        <v>191</v>
      </c>
      <c r="E54" s="0" t="s">
        <v>50</v>
      </c>
      <c r="F54" s="0" t="s">
        <v>51</v>
      </c>
      <c r="G54" s="0" t="s">
        <v>52</v>
      </c>
      <c r="H54" s="0" t="s">
        <v>53</v>
      </c>
      <c r="I54" s="0" t="s">
        <v>54</v>
      </c>
      <c r="J54" s="0" t="s">
        <v>55</v>
      </c>
      <c r="K54" s="0" t="s">
        <v>56</v>
      </c>
      <c r="L54" s="0" t="n">
        <v>91859</v>
      </c>
      <c r="M54" s="0" t="n">
        <v>7624</v>
      </c>
      <c r="N54" s="0" t="s">
        <v>192</v>
      </c>
      <c r="O54" s="0" t="n">
        <v>53.2</v>
      </c>
      <c r="P54" s="0" t="n">
        <v>53186</v>
      </c>
      <c r="Q54" s="0" t="n">
        <v>38673</v>
      </c>
      <c r="R54" s="0" t="n">
        <v>57.9</v>
      </c>
      <c r="S54" s="0" t="n">
        <v>42.1</v>
      </c>
      <c r="T54" s="0" t="n">
        <v>8910</v>
      </c>
      <c r="U54" s="0" t="n">
        <v>24526</v>
      </c>
      <c r="V54" s="0" t="n">
        <v>56585</v>
      </c>
      <c r="W54" s="0" t="n">
        <v>9.7</v>
      </c>
      <c r="X54" s="0" t="n">
        <v>26.7</v>
      </c>
      <c r="Y54" s="0" t="n">
        <v>61.6</v>
      </c>
      <c r="Z54" s="0" t="n">
        <v>7624.297</v>
      </c>
      <c r="AF54" s="0" t="n">
        <v>8.3</v>
      </c>
      <c r="AL54" s="0" t="s">
        <v>57</v>
      </c>
      <c r="AM54" s="0" t="s">
        <v>58</v>
      </c>
      <c r="AN54" s="0" t="s">
        <v>58</v>
      </c>
      <c r="AO54" s="0" t="s">
        <v>57</v>
      </c>
      <c r="AP54" s="0" t="n">
        <v>0.08</v>
      </c>
      <c r="AV54" s="0" t="n">
        <v>9</v>
      </c>
    </row>
    <row r="55" customFormat="false" ht="15" hidden="false" customHeight="false" outlineLevel="0" collapsed="false">
      <c r="A55" s="0" t="n">
        <v>1128</v>
      </c>
      <c r="B55" s="0" t="n">
        <v>2024</v>
      </c>
      <c r="C55" s="0" t="s">
        <v>193</v>
      </c>
      <c r="D55" s="0" t="s">
        <v>128</v>
      </c>
      <c r="E55" s="0" t="s">
        <v>129</v>
      </c>
      <c r="F55" s="0" t="s">
        <v>130</v>
      </c>
      <c r="G55" s="0" t="s">
        <v>194</v>
      </c>
      <c r="H55" s="0" t="s">
        <v>53</v>
      </c>
      <c r="I55" s="0" t="s">
        <v>64</v>
      </c>
      <c r="J55" s="0" t="s">
        <v>56</v>
      </c>
      <c r="K55" s="0" t="s">
        <v>56</v>
      </c>
      <c r="L55" s="0" t="n">
        <v>10664</v>
      </c>
      <c r="M55" s="0" t="n">
        <v>986</v>
      </c>
      <c r="N55" s="0" t="s">
        <v>195</v>
      </c>
      <c r="O55" s="0" t="n">
        <v>56.3</v>
      </c>
      <c r="P55" s="0" t="n">
        <v>5305</v>
      </c>
      <c r="Q55" s="0" t="n">
        <v>5359</v>
      </c>
      <c r="R55" s="0" t="n">
        <v>49.7468117</v>
      </c>
      <c r="S55" s="0" t="n">
        <v>50.2531883</v>
      </c>
      <c r="T55" s="0" t="n">
        <v>6950</v>
      </c>
      <c r="U55" s="0" t="n">
        <v>2073</v>
      </c>
      <c r="V55" s="0" t="n">
        <v>1641</v>
      </c>
      <c r="W55" s="0" t="n">
        <v>65.17</v>
      </c>
      <c r="X55" s="0" t="n">
        <v>19.44</v>
      </c>
      <c r="Y55" s="0" t="n">
        <v>15.39</v>
      </c>
      <c r="Z55" s="0" t="n">
        <v>986</v>
      </c>
      <c r="AA55" s="0" t="n">
        <v>385</v>
      </c>
      <c r="AB55" s="0" t="n">
        <v>601</v>
      </c>
      <c r="AC55" s="0" t="n">
        <v>805</v>
      </c>
      <c r="AD55" s="0" t="n">
        <v>83</v>
      </c>
      <c r="AE55" s="0" t="n">
        <v>98</v>
      </c>
      <c r="AF55" s="0" t="n">
        <v>9.25</v>
      </c>
      <c r="AG55" s="0" t="n">
        <v>7.26</v>
      </c>
      <c r="AH55" s="0" t="n">
        <v>11.21</v>
      </c>
      <c r="AI55" s="0" t="n">
        <v>11.58</v>
      </c>
      <c r="AJ55" s="0" t="n">
        <v>4</v>
      </c>
      <c r="AK55" s="0" t="n">
        <v>5.97</v>
      </c>
      <c r="AL55" s="0" t="s">
        <v>57</v>
      </c>
      <c r="AM55" s="0" t="s">
        <v>57</v>
      </c>
      <c r="AN55" s="0" t="s">
        <v>57</v>
      </c>
      <c r="AO55" s="0" t="s">
        <v>57</v>
      </c>
      <c r="AP55" s="0" t="n">
        <v>0.09</v>
      </c>
      <c r="AQ55" s="0" t="n">
        <v>0.07</v>
      </c>
      <c r="AR55" s="0" t="n">
        <v>0.11</v>
      </c>
      <c r="AS55" s="0" t="n">
        <v>0.12</v>
      </c>
      <c r="AT55" s="0" t="n">
        <v>0.04</v>
      </c>
      <c r="AU55" s="0" t="n">
        <v>0.06</v>
      </c>
      <c r="AV55" s="0" t="n">
        <v>9</v>
      </c>
    </row>
    <row r="56" customFormat="false" ht="15" hidden="false" customHeight="false" outlineLevel="0" collapsed="false">
      <c r="A56" s="0" t="n">
        <v>1129</v>
      </c>
      <c r="B56" s="0" t="n">
        <v>2024</v>
      </c>
      <c r="C56" s="0" t="s">
        <v>196</v>
      </c>
      <c r="D56" s="0" t="s">
        <v>88</v>
      </c>
      <c r="E56" s="0" t="s">
        <v>50</v>
      </c>
      <c r="F56" s="0" t="s">
        <v>51</v>
      </c>
      <c r="G56" s="0" t="s">
        <v>89</v>
      </c>
      <c r="H56" s="0" t="s">
        <v>53</v>
      </c>
      <c r="I56" s="0" t="s">
        <v>64</v>
      </c>
      <c r="J56" s="0" t="s">
        <v>55</v>
      </c>
      <c r="K56" s="0" t="s">
        <v>56</v>
      </c>
      <c r="L56" s="0" t="n">
        <v>420002</v>
      </c>
      <c r="M56" s="0" t="n">
        <v>55365</v>
      </c>
      <c r="N56" s="0" t="s">
        <v>197</v>
      </c>
      <c r="O56" s="0" t="n">
        <v>57</v>
      </c>
      <c r="T56" s="0" t="n">
        <v>233798</v>
      </c>
      <c r="U56" s="0" t="n">
        <v>142878</v>
      </c>
      <c r="V56" s="0" t="n">
        <v>41287</v>
      </c>
      <c r="W56" s="0" t="n">
        <v>55.67</v>
      </c>
      <c r="X56" s="0" t="n">
        <v>34.02</v>
      </c>
      <c r="Y56" s="0" t="n">
        <v>9.83</v>
      </c>
      <c r="Z56" s="0" t="n">
        <v>55365</v>
      </c>
      <c r="AC56" s="0" t="n">
        <v>29508</v>
      </c>
      <c r="AD56" s="0" t="n">
        <v>18561</v>
      </c>
      <c r="AE56" s="0" t="n">
        <v>6808</v>
      </c>
      <c r="AF56" s="0" t="n">
        <v>13.18</v>
      </c>
      <c r="AI56" s="0" t="n">
        <v>12.62</v>
      </c>
      <c r="AJ56" s="0" t="n">
        <v>12.99</v>
      </c>
      <c r="AK56" s="0" t="n">
        <v>16.49</v>
      </c>
      <c r="AL56" s="0" t="s">
        <v>57</v>
      </c>
      <c r="AM56" s="0" t="s">
        <v>58</v>
      </c>
      <c r="AN56" s="0" t="s">
        <v>57</v>
      </c>
      <c r="AO56" s="0" t="s">
        <v>57</v>
      </c>
      <c r="AP56" s="0" t="n">
        <v>0.13</v>
      </c>
      <c r="AS56" s="0" t="n">
        <v>0.13</v>
      </c>
      <c r="AT56" s="0" t="n">
        <v>0.13</v>
      </c>
      <c r="AU56" s="0" t="n">
        <v>0.16</v>
      </c>
      <c r="AV56" s="0" t="n">
        <v>9</v>
      </c>
    </row>
    <row r="57" customFormat="false" ht="15" hidden="false" customHeight="false" outlineLevel="0" collapsed="false">
      <c r="A57" s="0" t="n">
        <v>1133</v>
      </c>
      <c r="B57" s="0" t="n">
        <v>2024</v>
      </c>
      <c r="C57" s="0" t="s">
        <v>198</v>
      </c>
      <c r="D57" s="0" t="s">
        <v>49</v>
      </c>
      <c r="E57" s="0" t="s">
        <v>50</v>
      </c>
      <c r="F57" s="0" t="s">
        <v>51</v>
      </c>
      <c r="G57" s="0" t="s">
        <v>199</v>
      </c>
      <c r="H57" s="0" t="s">
        <v>53</v>
      </c>
      <c r="I57" s="0" t="s">
        <v>64</v>
      </c>
      <c r="J57" s="0" t="s">
        <v>56</v>
      </c>
      <c r="K57" s="0" t="s">
        <v>56</v>
      </c>
      <c r="L57" s="0" t="n">
        <v>28855</v>
      </c>
      <c r="M57" s="0" t="n">
        <v>1467</v>
      </c>
      <c r="N57" s="0" t="s">
        <v>200</v>
      </c>
      <c r="O57" s="0" t="n">
        <v>57.5</v>
      </c>
      <c r="P57" s="0" t="n">
        <v>13998</v>
      </c>
      <c r="Q57" s="0" t="n">
        <v>14857</v>
      </c>
      <c r="R57" s="0" t="n">
        <v>48.51</v>
      </c>
      <c r="S57" s="0" t="n">
        <v>51.49</v>
      </c>
      <c r="T57" s="0" t="n">
        <v>14558</v>
      </c>
      <c r="U57" s="0" t="n">
        <v>10500</v>
      </c>
      <c r="V57" s="0" t="n">
        <v>3797</v>
      </c>
      <c r="W57" s="0" t="n">
        <v>50.45</v>
      </c>
      <c r="X57" s="0" t="n">
        <v>36.39</v>
      </c>
      <c r="Y57" s="0" t="n">
        <v>13.16</v>
      </c>
      <c r="Z57" s="0" t="n">
        <v>1467</v>
      </c>
      <c r="AA57" s="0" t="n">
        <v>679</v>
      </c>
      <c r="AB57" s="0" t="n">
        <v>788</v>
      </c>
      <c r="AC57" s="0" t="n">
        <v>672</v>
      </c>
      <c r="AD57" s="0" t="n">
        <v>503</v>
      </c>
      <c r="AE57" s="0" t="n">
        <v>292</v>
      </c>
      <c r="AF57" s="0" t="n">
        <v>5.08</v>
      </c>
      <c r="AG57" s="0" t="n">
        <v>4.85</v>
      </c>
      <c r="AH57" s="0" t="n">
        <v>5.3</v>
      </c>
      <c r="AI57" s="0" t="n">
        <v>4.62</v>
      </c>
      <c r="AJ57" s="0" t="n">
        <v>4.79</v>
      </c>
      <c r="AK57" s="0" t="n">
        <v>7.69</v>
      </c>
      <c r="AL57" s="0" t="s">
        <v>57</v>
      </c>
      <c r="AM57" s="0" t="s">
        <v>57</v>
      </c>
      <c r="AN57" s="0" t="s">
        <v>57</v>
      </c>
      <c r="AO57" s="0" t="s">
        <v>57</v>
      </c>
      <c r="AP57" s="0" t="n">
        <v>0.05</v>
      </c>
      <c r="AQ57" s="0" t="n">
        <v>0.05</v>
      </c>
      <c r="AR57" s="0" t="n">
        <v>0.05</v>
      </c>
      <c r="AS57" s="0" t="n">
        <v>0.05</v>
      </c>
      <c r="AT57" s="0" t="n">
        <v>0.05</v>
      </c>
      <c r="AU57" s="0" t="n">
        <v>0.08</v>
      </c>
      <c r="AV57" s="0" t="n">
        <v>9</v>
      </c>
    </row>
    <row r="58" customFormat="false" ht="15" hidden="false" customHeight="false" outlineLevel="0" collapsed="false">
      <c r="A58" s="0" t="n">
        <v>1133</v>
      </c>
      <c r="B58" s="0" t="n">
        <v>2024</v>
      </c>
      <c r="C58" s="0" t="s">
        <v>198</v>
      </c>
      <c r="D58" s="0" t="s">
        <v>49</v>
      </c>
      <c r="E58" s="0" t="s">
        <v>50</v>
      </c>
      <c r="F58" s="0" t="s">
        <v>51</v>
      </c>
      <c r="G58" s="0" t="s">
        <v>199</v>
      </c>
      <c r="H58" s="0" t="s">
        <v>59</v>
      </c>
      <c r="I58" s="0" t="s">
        <v>64</v>
      </c>
      <c r="J58" s="0" t="s">
        <v>56</v>
      </c>
      <c r="K58" s="0" t="s">
        <v>56</v>
      </c>
      <c r="L58" s="0" t="n">
        <v>28855</v>
      </c>
      <c r="M58" s="0" t="n">
        <v>562</v>
      </c>
      <c r="N58" s="0" t="s">
        <v>200</v>
      </c>
      <c r="O58" s="0" t="n">
        <v>57.5</v>
      </c>
      <c r="P58" s="0" t="n">
        <v>13998</v>
      </c>
      <c r="Q58" s="0" t="n">
        <v>14857</v>
      </c>
      <c r="R58" s="0" t="n">
        <v>48.51</v>
      </c>
      <c r="S58" s="0" t="n">
        <v>51.49</v>
      </c>
      <c r="T58" s="0" t="n">
        <v>14558</v>
      </c>
      <c r="U58" s="0" t="n">
        <v>10500</v>
      </c>
      <c r="V58" s="0" t="n">
        <v>3797</v>
      </c>
      <c r="W58" s="0" t="n">
        <v>50.45</v>
      </c>
      <c r="X58" s="0" t="n">
        <v>36.39</v>
      </c>
      <c r="Y58" s="0" t="n">
        <v>13.16</v>
      </c>
      <c r="Z58" s="0" t="n">
        <v>562</v>
      </c>
      <c r="AF58" s="0" t="n">
        <v>1.95</v>
      </c>
      <c r="AL58" s="0" t="s">
        <v>57</v>
      </c>
      <c r="AM58" s="0" t="s">
        <v>57</v>
      </c>
      <c r="AN58" s="0" t="s">
        <v>57</v>
      </c>
      <c r="AO58" s="0" t="s">
        <v>57</v>
      </c>
      <c r="AP58" s="0" t="n">
        <v>0.02</v>
      </c>
      <c r="AV58" s="0" t="n">
        <v>9</v>
      </c>
    </row>
    <row r="59" customFormat="false" ht="15" hidden="false" customHeight="false" outlineLevel="0" collapsed="false">
      <c r="A59" s="0" t="n">
        <v>1133</v>
      </c>
      <c r="B59" s="0" t="n">
        <v>2024</v>
      </c>
      <c r="C59" s="0" t="s">
        <v>198</v>
      </c>
      <c r="D59" s="0" t="s">
        <v>49</v>
      </c>
      <c r="E59" s="0" t="s">
        <v>50</v>
      </c>
      <c r="F59" s="0" t="s">
        <v>51</v>
      </c>
      <c r="G59" s="0" t="s">
        <v>199</v>
      </c>
      <c r="H59" s="0" t="s">
        <v>53</v>
      </c>
      <c r="I59" s="0" t="s">
        <v>54</v>
      </c>
      <c r="J59" s="0" t="s">
        <v>56</v>
      </c>
      <c r="K59" s="0" t="s">
        <v>56</v>
      </c>
      <c r="L59" s="0" t="n">
        <v>28855</v>
      </c>
      <c r="M59" s="0" t="n">
        <v>1475</v>
      </c>
      <c r="N59" s="0" t="s">
        <v>200</v>
      </c>
      <c r="O59" s="0" t="n">
        <v>57.5</v>
      </c>
      <c r="P59" s="0" t="n">
        <v>13998</v>
      </c>
      <c r="Q59" s="0" t="n">
        <v>14857</v>
      </c>
      <c r="R59" s="0" t="n">
        <v>48.51</v>
      </c>
      <c r="S59" s="0" t="n">
        <v>51.49</v>
      </c>
      <c r="T59" s="0" t="n">
        <v>14558</v>
      </c>
      <c r="U59" s="0" t="n">
        <v>10500</v>
      </c>
      <c r="V59" s="0" t="n">
        <v>3797</v>
      </c>
      <c r="W59" s="0" t="n">
        <v>50.45</v>
      </c>
      <c r="X59" s="0" t="n">
        <v>36.39</v>
      </c>
      <c r="Y59" s="0" t="n">
        <v>13.16</v>
      </c>
      <c r="Z59" s="0" t="n">
        <v>1475</v>
      </c>
      <c r="AA59" s="0" t="n">
        <v>722</v>
      </c>
      <c r="AB59" s="0" t="n">
        <v>753</v>
      </c>
      <c r="AC59" s="0" t="n">
        <v>765</v>
      </c>
      <c r="AD59" s="0" t="n">
        <v>479</v>
      </c>
      <c r="AE59" s="0" t="n">
        <v>231</v>
      </c>
      <c r="AF59" s="0" t="n">
        <v>5.11</v>
      </c>
      <c r="AG59" s="0" t="n">
        <v>5.16</v>
      </c>
      <c r="AH59" s="0" t="n">
        <v>5.07</v>
      </c>
      <c r="AI59" s="0" t="n">
        <v>5.25</v>
      </c>
      <c r="AJ59" s="0" t="n">
        <v>4.56</v>
      </c>
      <c r="AK59" s="0" t="n">
        <v>6.08</v>
      </c>
      <c r="AL59" s="0" t="s">
        <v>57</v>
      </c>
      <c r="AM59" s="0" t="s">
        <v>57</v>
      </c>
      <c r="AN59" s="0" t="s">
        <v>57</v>
      </c>
      <c r="AO59" s="0" t="s">
        <v>58</v>
      </c>
      <c r="AP59" s="0" t="n">
        <v>0.05</v>
      </c>
      <c r="AQ59" s="0" t="n">
        <v>0.05</v>
      </c>
      <c r="AR59" s="0" t="n">
        <v>0.05</v>
      </c>
      <c r="AS59" s="0" t="n">
        <v>0.05</v>
      </c>
      <c r="AT59" s="0" t="n">
        <v>0.05</v>
      </c>
      <c r="AU59" s="0" t="n">
        <v>0.06</v>
      </c>
      <c r="AV59" s="0" t="n">
        <v>9</v>
      </c>
    </row>
    <row r="60" customFormat="false" ht="15" hidden="false" customHeight="false" outlineLevel="0" collapsed="false">
      <c r="A60" s="0" t="n">
        <v>1133</v>
      </c>
      <c r="B60" s="0" t="n">
        <v>2024</v>
      </c>
      <c r="C60" s="0" t="s">
        <v>198</v>
      </c>
      <c r="D60" s="0" t="s">
        <v>49</v>
      </c>
      <c r="E60" s="0" t="s">
        <v>50</v>
      </c>
      <c r="F60" s="0" t="s">
        <v>51</v>
      </c>
      <c r="G60" s="0" t="s">
        <v>199</v>
      </c>
      <c r="H60" s="0" t="s">
        <v>59</v>
      </c>
      <c r="I60" s="0" t="s">
        <v>54</v>
      </c>
      <c r="J60" s="0" t="s">
        <v>56</v>
      </c>
      <c r="K60" s="0" t="s">
        <v>56</v>
      </c>
      <c r="L60" s="0" t="n">
        <v>28855</v>
      </c>
      <c r="M60" s="0" t="n">
        <v>588</v>
      </c>
      <c r="N60" s="0" t="s">
        <v>200</v>
      </c>
      <c r="O60" s="0" t="n">
        <v>57.5</v>
      </c>
      <c r="P60" s="0" t="n">
        <v>13998</v>
      </c>
      <c r="Q60" s="0" t="n">
        <v>14857</v>
      </c>
      <c r="R60" s="0" t="n">
        <v>48.51</v>
      </c>
      <c r="S60" s="0" t="n">
        <v>51.49</v>
      </c>
      <c r="T60" s="0" t="n">
        <v>14558</v>
      </c>
      <c r="U60" s="0" t="n">
        <v>10500</v>
      </c>
      <c r="V60" s="0" t="n">
        <v>3797</v>
      </c>
      <c r="W60" s="0" t="n">
        <v>50.45</v>
      </c>
      <c r="X60" s="0" t="n">
        <v>36.39</v>
      </c>
      <c r="Y60" s="0" t="n">
        <v>13.16</v>
      </c>
      <c r="Z60" s="0" t="n">
        <v>588</v>
      </c>
      <c r="AF60" s="0" t="n">
        <v>2.04</v>
      </c>
      <c r="AL60" s="0" t="s">
        <v>57</v>
      </c>
      <c r="AM60" s="0" t="s">
        <v>57</v>
      </c>
      <c r="AN60" s="0" t="s">
        <v>57</v>
      </c>
      <c r="AO60" s="0" t="s">
        <v>58</v>
      </c>
      <c r="AP60" s="0" t="n">
        <v>0.02</v>
      </c>
      <c r="AV60" s="0" t="n">
        <v>9</v>
      </c>
    </row>
    <row r="61" customFormat="false" ht="15" hidden="false" customHeight="false" outlineLevel="0" collapsed="false">
      <c r="A61" s="0" t="n">
        <v>1134</v>
      </c>
      <c r="B61" s="0" t="n">
        <v>2024</v>
      </c>
      <c r="C61" s="0" t="s">
        <v>201</v>
      </c>
      <c r="D61" s="0" t="s">
        <v>106</v>
      </c>
      <c r="E61" s="0" t="s">
        <v>99</v>
      </c>
      <c r="F61" s="0" t="s">
        <v>51</v>
      </c>
      <c r="G61" s="0" t="s">
        <v>110</v>
      </c>
      <c r="H61" s="0" t="s">
        <v>53</v>
      </c>
      <c r="I61" s="0" t="s">
        <v>64</v>
      </c>
      <c r="J61" s="0" t="s">
        <v>55</v>
      </c>
      <c r="K61" s="0" t="s">
        <v>56</v>
      </c>
      <c r="L61" s="0" t="n">
        <v>32949</v>
      </c>
      <c r="M61" s="0" t="n">
        <v>3803</v>
      </c>
      <c r="Z61" s="0" t="n">
        <v>3803</v>
      </c>
      <c r="AF61" s="0" t="n">
        <v>11.54</v>
      </c>
      <c r="AL61" s="0" t="s">
        <v>57</v>
      </c>
      <c r="AM61" s="0" t="s">
        <v>58</v>
      </c>
      <c r="AN61" s="0" t="s">
        <v>58</v>
      </c>
      <c r="AO61" s="0" t="s">
        <v>57</v>
      </c>
      <c r="AP61" s="0" t="n">
        <v>0.12</v>
      </c>
      <c r="AV61" s="0" t="n">
        <v>9</v>
      </c>
    </row>
    <row r="62" customFormat="false" ht="15" hidden="false" customHeight="false" outlineLevel="0" collapsed="false">
      <c r="A62" s="0" t="n">
        <v>1254</v>
      </c>
      <c r="B62" s="0" t="n">
        <v>2025</v>
      </c>
      <c r="C62" s="0" t="s">
        <v>202</v>
      </c>
      <c r="D62" s="0" t="s">
        <v>185</v>
      </c>
      <c r="E62" s="0" t="s">
        <v>99</v>
      </c>
      <c r="F62" s="0" t="s">
        <v>153</v>
      </c>
      <c r="G62" s="0" t="s">
        <v>52</v>
      </c>
      <c r="H62" s="0" t="s">
        <v>53</v>
      </c>
      <c r="I62" s="0" t="s">
        <v>64</v>
      </c>
      <c r="J62" s="0" t="s">
        <v>55</v>
      </c>
      <c r="K62" s="0" t="s">
        <v>56</v>
      </c>
      <c r="L62" s="0" t="n">
        <v>627</v>
      </c>
      <c r="M62" s="0" t="n">
        <v>63</v>
      </c>
      <c r="N62" s="0" t="s">
        <v>203</v>
      </c>
      <c r="O62" s="0" t="n">
        <v>46.44</v>
      </c>
      <c r="P62" s="0" t="n">
        <v>340</v>
      </c>
      <c r="Q62" s="0" t="n">
        <v>287</v>
      </c>
      <c r="R62" s="0" t="n">
        <v>54.23</v>
      </c>
      <c r="S62" s="0" t="n">
        <v>45.77</v>
      </c>
      <c r="T62" s="0" t="n">
        <v>505</v>
      </c>
      <c r="V62" s="0" t="n">
        <v>122</v>
      </c>
      <c r="W62" s="0" t="n">
        <v>80.54</v>
      </c>
      <c r="Y62" s="0" t="n">
        <v>19.46</v>
      </c>
      <c r="Z62" s="0" t="n">
        <v>63</v>
      </c>
      <c r="AA62" s="0" t="n">
        <v>45</v>
      </c>
      <c r="AB62" s="0" t="n">
        <v>18</v>
      </c>
      <c r="AC62" s="0" t="n">
        <v>42</v>
      </c>
      <c r="AE62" s="0" t="n">
        <v>21</v>
      </c>
      <c r="AF62" s="0" t="n">
        <v>10.05</v>
      </c>
      <c r="AG62" s="0" t="n">
        <v>13.24</v>
      </c>
      <c r="AH62" s="0" t="n">
        <v>6.27</v>
      </c>
      <c r="AI62" s="0" t="n">
        <v>8.32</v>
      </c>
      <c r="AK62" s="0" t="n">
        <v>17.21</v>
      </c>
      <c r="AL62" s="0" t="s">
        <v>57</v>
      </c>
      <c r="AM62" s="0" t="s">
        <v>57</v>
      </c>
      <c r="AN62" s="0" t="s">
        <v>57</v>
      </c>
      <c r="AO62" s="0" t="s">
        <v>57</v>
      </c>
      <c r="AP62" s="0" t="n">
        <v>0.1</v>
      </c>
      <c r="AQ62" s="0" t="n">
        <v>0.13</v>
      </c>
      <c r="AR62" s="0" t="n">
        <v>0.06</v>
      </c>
      <c r="AS62" s="0" t="n">
        <v>0.08</v>
      </c>
      <c r="AU62" s="0" t="n">
        <v>0.17</v>
      </c>
      <c r="AV62" s="0" t="n">
        <v>8</v>
      </c>
    </row>
    <row r="63" customFormat="false" ht="15" hidden="false" customHeight="false" outlineLevel="0" collapsed="false">
      <c r="A63" s="0" t="n">
        <v>1257</v>
      </c>
      <c r="B63" s="0" t="n">
        <v>2025</v>
      </c>
      <c r="C63" s="0" t="s">
        <v>204</v>
      </c>
      <c r="D63" s="0" t="s">
        <v>205</v>
      </c>
      <c r="E63" s="0" t="s">
        <v>99</v>
      </c>
      <c r="F63" s="0" t="s">
        <v>51</v>
      </c>
      <c r="G63" s="0" t="s">
        <v>206</v>
      </c>
      <c r="H63" s="0" t="s">
        <v>53</v>
      </c>
      <c r="I63" s="0" t="s">
        <v>64</v>
      </c>
      <c r="J63" s="0" t="s">
        <v>56</v>
      </c>
      <c r="K63" s="0" t="s">
        <v>56</v>
      </c>
      <c r="L63" s="0" t="n">
        <v>3518</v>
      </c>
      <c r="M63" s="0" t="n">
        <v>387</v>
      </c>
      <c r="N63" s="0" t="s">
        <v>207</v>
      </c>
      <c r="O63" s="0" t="n">
        <v>58.5</v>
      </c>
      <c r="P63" s="0" t="n">
        <v>1699</v>
      </c>
      <c r="Q63" s="0" t="n">
        <v>1819</v>
      </c>
      <c r="R63" s="0" t="n">
        <v>48.29</v>
      </c>
      <c r="S63" s="0" t="n">
        <v>51.71</v>
      </c>
      <c r="T63" s="0" t="n">
        <v>1656</v>
      </c>
      <c r="U63" s="0" t="n">
        <v>1439</v>
      </c>
      <c r="V63" s="0" t="n">
        <v>423</v>
      </c>
      <c r="W63" s="0" t="n">
        <v>47.07</v>
      </c>
      <c r="X63" s="0" t="n">
        <v>40.9</v>
      </c>
      <c r="Y63" s="0" t="n">
        <v>12.02</v>
      </c>
      <c r="Z63" s="0" t="n">
        <v>387</v>
      </c>
      <c r="AA63" s="0" t="n">
        <v>204</v>
      </c>
      <c r="AB63" s="0" t="n">
        <v>183</v>
      </c>
      <c r="AC63" s="0" t="n">
        <v>167</v>
      </c>
      <c r="AD63" s="0" t="n">
        <v>126</v>
      </c>
      <c r="AE63" s="0" t="n">
        <v>94</v>
      </c>
      <c r="AF63" s="0" t="n">
        <v>11</v>
      </c>
      <c r="AG63" s="0" t="n">
        <v>12.01</v>
      </c>
      <c r="AH63" s="0" t="n">
        <v>10.06</v>
      </c>
      <c r="AI63" s="0" t="n">
        <v>10.08</v>
      </c>
      <c r="AJ63" s="0" t="n">
        <v>8.76</v>
      </c>
      <c r="AK63" s="0" t="n">
        <v>22.22</v>
      </c>
      <c r="AL63" s="0" t="s">
        <v>57</v>
      </c>
      <c r="AM63" s="0" t="s">
        <v>57</v>
      </c>
      <c r="AN63" s="0" t="s">
        <v>57</v>
      </c>
      <c r="AO63" s="0" t="s">
        <v>57</v>
      </c>
      <c r="AP63" s="0" t="n">
        <v>0.11</v>
      </c>
      <c r="AQ63" s="0" t="n">
        <v>0.12</v>
      </c>
      <c r="AR63" s="0" t="n">
        <v>0.1</v>
      </c>
      <c r="AS63" s="0" t="n">
        <v>0.1</v>
      </c>
      <c r="AT63" s="0" t="n">
        <v>0.09</v>
      </c>
      <c r="AU63" s="0" t="n">
        <v>0.22</v>
      </c>
      <c r="AV63" s="0" t="n">
        <v>8</v>
      </c>
    </row>
    <row r="64" customFormat="false" ht="15" hidden="false" customHeight="false" outlineLevel="0" collapsed="false">
      <c r="A64" s="0" t="n">
        <v>1259</v>
      </c>
      <c r="B64" s="0" t="n">
        <v>2025</v>
      </c>
      <c r="C64" s="0" t="s">
        <v>208</v>
      </c>
      <c r="D64" s="0" t="s">
        <v>209</v>
      </c>
      <c r="E64" s="0" t="s">
        <v>50</v>
      </c>
      <c r="F64" s="0" t="s">
        <v>51</v>
      </c>
      <c r="G64" s="0" t="s">
        <v>210</v>
      </c>
      <c r="H64" s="0" t="s">
        <v>53</v>
      </c>
      <c r="I64" s="0" t="s">
        <v>64</v>
      </c>
      <c r="J64" s="0" t="s">
        <v>55</v>
      </c>
      <c r="K64" s="0" t="s">
        <v>56</v>
      </c>
      <c r="L64" s="0" t="n">
        <v>26091</v>
      </c>
      <c r="N64" s="0" t="s">
        <v>211</v>
      </c>
      <c r="O64" s="0" t="n">
        <v>38.2</v>
      </c>
      <c r="P64" s="0" t="n">
        <v>26091</v>
      </c>
      <c r="R64" s="0" t="n">
        <v>100</v>
      </c>
      <c r="AA64" s="1" t="n">
        <v>1110</v>
      </c>
      <c r="AG64" s="2" t="n">
        <f aca="false">IF(AND(ISNUMBER(P64), ISNUMBER(AA64)), (AA64/P64)*100, "")</f>
        <v>4.25434057721053</v>
      </c>
      <c r="AL64" s="0" t="s">
        <v>58</v>
      </c>
      <c r="AM64" s="0" t="s">
        <v>57</v>
      </c>
      <c r="AN64" s="0" t="s">
        <v>58</v>
      </c>
      <c r="AO64" s="0" t="s">
        <v>58</v>
      </c>
      <c r="AQ64" s="2" t="n">
        <f aca="false">AG64/100</f>
        <v>0.0425434057721053</v>
      </c>
      <c r="AV64" s="0" t="n">
        <v>7</v>
      </c>
    </row>
    <row r="65" customFormat="false" ht="15" hidden="false" customHeight="false" outlineLevel="0" collapsed="false">
      <c r="A65" s="0" t="n">
        <v>1259</v>
      </c>
      <c r="B65" s="0" t="n">
        <v>2025</v>
      </c>
      <c r="C65" s="0" t="s">
        <v>208</v>
      </c>
      <c r="D65" s="0" t="s">
        <v>209</v>
      </c>
      <c r="E65" s="0" t="s">
        <v>50</v>
      </c>
      <c r="F65" s="0" t="s">
        <v>51</v>
      </c>
      <c r="G65" s="0" t="s">
        <v>210</v>
      </c>
      <c r="H65" s="0" t="s">
        <v>53</v>
      </c>
      <c r="I65" s="0" t="s">
        <v>54</v>
      </c>
      <c r="J65" s="0" t="s">
        <v>55</v>
      </c>
      <c r="K65" s="0" t="s">
        <v>56</v>
      </c>
      <c r="L65" s="0" t="n">
        <v>26091</v>
      </c>
      <c r="N65" s="0" t="s">
        <v>211</v>
      </c>
      <c r="O65" s="0" t="n">
        <v>38.2</v>
      </c>
      <c r="P65" s="0" t="n">
        <v>26091</v>
      </c>
      <c r="R65" s="0" t="n">
        <v>100</v>
      </c>
      <c r="AA65" s="1" t="n">
        <v>956</v>
      </c>
      <c r="AG65" s="2" t="n">
        <f aca="false">IF(AND(ISNUMBER(P65), ISNUMBER(AA65)), (AA65/P65)*100, "")</f>
        <v>3.66409873136331</v>
      </c>
      <c r="AL65" s="0" t="s">
        <v>58</v>
      </c>
      <c r="AM65" s="0" t="s">
        <v>57</v>
      </c>
      <c r="AN65" s="0" t="s">
        <v>58</v>
      </c>
      <c r="AO65" s="0" t="s">
        <v>58</v>
      </c>
      <c r="AQ65" s="2" t="n">
        <f aca="false">AG65/100</f>
        <v>0.0366409873136331</v>
      </c>
      <c r="AV65" s="0" t="n">
        <v>7</v>
      </c>
    </row>
    <row r="66" customFormat="false" ht="15" hidden="false" customHeight="false" outlineLevel="0" collapsed="false">
      <c r="A66" s="0" t="n">
        <v>1259</v>
      </c>
      <c r="B66" s="0" t="n">
        <v>2025</v>
      </c>
      <c r="C66" s="0" t="s">
        <v>208</v>
      </c>
      <c r="D66" s="0" t="s">
        <v>209</v>
      </c>
      <c r="E66" s="0" t="s">
        <v>50</v>
      </c>
      <c r="F66" s="0" t="s">
        <v>51</v>
      </c>
      <c r="G66" s="0" t="s">
        <v>210</v>
      </c>
      <c r="H66" s="0" t="s">
        <v>59</v>
      </c>
      <c r="I66" s="0" t="s">
        <v>64</v>
      </c>
      <c r="J66" s="0" t="s">
        <v>55</v>
      </c>
      <c r="K66" s="0" t="s">
        <v>56</v>
      </c>
      <c r="L66" s="0" t="n">
        <v>26091</v>
      </c>
      <c r="N66" s="0" t="s">
        <v>211</v>
      </c>
      <c r="O66" s="0" t="n">
        <v>38.2</v>
      </c>
      <c r="P66" s="0" t="n">
        <v>26091</v>
      </c>
      <c r="R66" s="0" t="n">
        <v>100</v>
      </c>
      <c r="AA66" s="1" t="n">
        <v>1270</v>
      </c>
      <c r="AG66" s="2" t="n">
        <f aca="false">IF(AND(ISNUMBER(P66), ISNUMBER(AA66)), (AA66/P66)*100, "")</f>
        <v>4.86757885861025</v>
      </c>
      <c r="AL66" s="0" t="s">
        <v>58</v>
      </c>
      <c r="AM66" s="0" t="s">
        <v>57</v>
      </c>
      <c r="AN66" s="0" t="s">
        <v>58</v>
      </c>
      <c r="AO66" s="0" t="s">
        <v>58</v>
      </c>
      <c r="AQ66" s="2" t="n">
        <f aca="false">AG66/100</f>
        <v>0.0486757885861025</v>
      </c>
      <c r="AR66" s="2"/>
      <c r="AV66" s="0" t="n">
        <v>7</v>
      </c>
    </row>
    <row r="67" customFormat="false" ht="15" hidden="false" customHeight="false" outlineLevel="0" collapsed="false">
      <c r="A67" s="0" t="n">
        <v>1259</v>
      </c>
      <c r="B67" s="0" t="n">
        <v>2025</v>
      </c>
      <c r="C67" s="0" t="s">
        <v>208</v>
      </c>
      <c r="D67" s="0" t="s">
        <v>209</v>
      </c>
      <c r="E67" s="0" t="s">
        <v>50</v>
      </c>
      <c r="F67" s="0" t="s">
        <v>51</v>
      </c>
      <c r="G67" s="0" t="s">
        <v>210</v>
      </c>
      <c r="H67" s="0" t="s">
        <v>59</v>
      </c>
      <c r="I67" s="0" t="s">
        <v>54</v>
      </c>
      <c r="J67" s="0" t="s">
        <v>55</v>
      </c>
      <c r="K67" s="0" t="s">
        <v>56</v>
      </c>
      <c r="L67" s="0" t="n">
        <v>26091</v>
      </c>
      <c r="N67" s="0" t="s">
        <v>211</v>
      </c>
      <c r="O67" s="0" t="n">
        <v>38.2</v>
      </c>
      <c r="P67" s="0" t="n">
        <v>26091</v>
      </c>
      <c r="R67" s="0" t="n">
        <v>100</v>
      </c>
      <c r="AA67" s="1" t="n">
        <v>1348</v>
      </c>
      <c r="AG67" s="2" t="n">
        <f aca="false">IF(AND(ISNUMBER(P67), ISNUMBER(AA67)), (AA67/P67)*100, "")</f>
        <v>5.16653252079261</v>
      </c>
      <c r="AL67" s="0" t="s">
        <v>58</v>
      </c>
      <c r="AM67" s="0" t="s">
        <v>57</v>
      </c>
      <c r="AN67" s="0" t="s">
        <v>58</v>
      </c>
      <c r="AO67" s="0" t="s">
        <v>58</v>
      </c>
      <c r="AQ67" s="2" t="n">
        <f aca="false">AG67/100</f>
        <v>0.0516653252079261</v>
      </c>
      <c r="AV67" s="0" t="n">
        <v>7</v>
      </c>
    </row>
    <row r="68" customFormat="false" ht="15" hidden="false" customHeight="false" outlineLevel="0" collapsed="false">
      <c r="A68" s="0" t="n">
        <v>1265</v>
      </c>
      <c r="B68" s="0" t="n">
        <v>2025</v>
      </c>
      <c r="C68" s="0" t="s">
        <v>212</v>
      </c>
      <c r="D68" s="0" t="s">
        <v>185</v>
      </c>
      <c r="E68" s="0" t="s">
        <v>99</v>
      </c>
      <c r="F68" s="0" t="s">
        <v>153</v>
      </c>
      <c r="G68" s="0" t="s">
        <v>213</v>
      </c>
      <c r="H68" s="0" t="s">
        <v>53</v>
      </c>
      <c r="I68" s="0" t="s">
        <v>64</v>
      </c>
      <c r="J68" s="0" t="s">
        <v>55</v>
      </c>
      <c r="K68" s="0" t="s">
        <v>56</v>
      </c>
      <c r="L68" s="0" t="n">
        <v>40279</v>
      </c>
      <c r="M68" s="0" t="n">
        <v>11824</v>
      </c>
      <c r="N68" s="0" t="s">
        <v>214</v>
      </c>
      <c r="O68" s="0" t="n">
        <v>51.1</v>
      </c>
      <c r="P68" s="0" t="n">
        <v>16682</v>
      </c>
      <c r="Q68" s="0" t="n">
        <v>23597</v>
      </c>
      <c r="R68" s="0" t="n">
        <v>41.42</v>
      </c>
      <c r="S68" s="0" t="n">
        <v>58.58</v>
      </c>
      <c r="T68" s="0" t="n">
        <v>29385</v>
      </c>
      <c r="U68" s="0" t="n">
        <v>1919</v>
      </c>
      <c r="V68" s="0" t="n">
        <v>8975</v>
      </c>
      <c r="W68" s="0" t="n">
        <v>72.95</v>
      </c>
      <c r="X68" s="0" t="n">
        <v>4.76</v>
      </c>
      <c r="Y68" s="0" t="n">
        <v>22.28</v>
      </c>
      <c r="Z68" s="0" t="n">
        <v>11824</v>
      </c>
      <c r="AA68" s="0" t="n">
        <v>5088</v>
      </c>
      <c r="AB68" s="0" t="n">
        <v>6736</v>
      </c>
      <c r="AC68" s="0" t="n">
        <v>8535</v>
      </c>
      <c r="AD68" s="0" t="n">
        <v>592</v>
      </c>
      <c r="AE68" s="0" t="n">
        <v>2697</v>
      </c>
      <c r="AF68" s="0" t="n">
        <v>29.36</v>
      </c>
      <c r="AG68" s="0" t="n">
        <v>30.5</v>
      </c>
      <c r="AH68" s="0" t="n">
        <v>28.55</v>
      </c>
      <c r="AI68" s="0" t="n">
        <v>29.05</v>
      </c>
      <c r="AJ68" s="0" t="n">
        <v>30.85</v>
      </c>
      <c r="AK68" s="0" t="n">
        <v>30.05</v>
      </c>
      <c r="AL68" s="0" t="s">
        <v>57</v>
      </c>
      <c r="AM68" s="0" t="s">
        <v>57</v>
      </c>
      <c r="AN68" s="0" t="s">
        <v>57</v>
      </c>
      <c r="AO68" s="0" t="s">
        <v>57</v>
      </c>
      <c r="AP68" s="0" t="n">
        <v>0.29</v>
      </c>
      <c r="AQ68" s="0" t="n">
        <v>0.3</v>
      </c>
      <c r="AR68" s="0" t="n">
        <v>0.29</v>
      </c>
      <c r="AS68" s="0" t="n">
        <v>0.29</v>
      </c>
      <c r="AT68" s="0" t="n">
        <v>0.31</v>
      </c>
      <c r="AU68" s="0" t="n">
        <v>0.3</v>
      </c>
      <c r="AV68" s="0" t="n">
        <v>9</v>
      </c>
    </row>
    <row r="69" customFormat="false" ht="15" hidden="false" customHeight="false" outlineLevel="0" collapsed="false">
      <c r="A69" s="0" t="n">
        <v>8888</v>
      </c>
      <c r="B69" s="0" t="n">
        <v>2018</v>
      </c>
      <c r="C69" s="0" t="s">
        <v>215</v>
      </c>
      <c r="D69" s="0" t="s">
        <v>185</v>
      </c>
      <c r="E69" s="0" t="s">
        <v>99</v>
      </c>
      <c r="F69" s="0" t="s">
        <v>153</v>
      </c>
      <c r="G69" s="0" t="s">
        <v>52</v>
      </c>
      <c r="H69" s="0" t="s">
        <v>53</v>
      </c>
      <c r="I69" s="0" t="s">
        <v>54</v>
      </c>
      <c r="J69" s="0" t="s">
        <v>56</v>
      </c>
      <c r="K69" s="0" t="s">
        <v>56</v>
      </c>
      <c r="L69" s="0" t="n">
        <v>1082</v>
      </c>
      <c r="M69" s="0" t="n">
        <v>104</v>
      </c>
      <c r="N69" s="0" t="s">
        <v>216</v>
      </c>
      <c r="O69" s="0" t="n">
        <v>56.8</v>
      </c>
      <c r="P69" s="0" t="n">
        <v>550</v>
      </c>
      <c r="Q69" s="0" t="n">
        <v>532</v>
      </c>
      <c r="R69" s="0" t="n">
        <v>50.8</v>
      </c>
      <c r="S69" s="0" t="n">
        <v>49.2</v>
      </c>
      <c r="Z69" s="0" t="n">
        <v>104</v>
      </c>
      <c r="AA69" s="0" t="n">
        <v>50</v>
      </c>
      <c r="AB69" s="0" t="n">
        <v>54</v>
      </c>
      <c r="AF69" s="0" t="n">
        <v>9.61</v>
      </c>
      <c r="AG69" s="0" t="n">
        <v>9.09</v>
      </c>
      <c r="AH69" s="0" t="n">
        <v>10.15</v>
      </c>
      <c r="AL69" s="0" t="s">
        <v>57</v>
      </c>
      <c r="AM69" s="0" t="s">
        <v>57</v>
      </c>
      <c r="AN69" s="0" t="s">
        <v>58</v>
      </c>
      <c r="AO69" s="0" t="s">
        <v>57</v>
      </c>
      <c r="AP69" s="0" t="n">
        <v>0.1</v>
      </c>
      <c r="AQ69" s="0" t="n">
        <v>0.09</v>
      </c>
      <c r="AR69" s="0" t="n">
        <v>0.1</v>
      </c>
      <c r="AV69" s="0" t="n">
        <v>8</v>
      </c>
    </row>
    <row r="70" customFormat="false" ht="15" hidden="false" customHeight="false" outlineLevel="0" collapsed="false">
      <c r="A70" s="0" t="n">
        <v>9999</v>
      </c>
      <c r="B70" s="0" t="n">
        <v>2022</v>
      </c>
      <c r="C70" s="0" t="s">
        <v>217</v>
      </c>
      <c r="D70" s="0" t="s">
        <v>185</v>
      </c>
      <c r="E70" s="0" t="s">
        <v>99</v>
      </c>
      <c r="F70" s="0" t="s">
        <v>153</v>
      </c>
      <c r="G70" s="0" t="s">
        <v>52</v>
      </c>
      <c r="H70" s="0" t="s">
        <v>59</v>
      </c>
      <c r="I70" s="0" t="s">
        <v>54</v>
      </c>
      <c r="J70" s="0" t="s">
        <v>55</v>
      </c>
      <c r="K70" s="0" t="s">
        <v>56</v>
      </c>
      <c r="L70" s="0" t="n">
        <v>61624</v>
      </c>
      <c r="M70" s="0" t="n">
        <v>4983</v>
      </c>
      <c r="N70" s="0" t="s">
        <v>218</v>
      </c>
      <c r="O70" s="0" t="n">
        <v>50.25</v>
      </c>
      <c r="P70" s="0" t="n">
        <v>28932</v>
      </c>
      <c r="Q70" s="0" t="n">
        <v>32692</v>
      </c>
      <c r="R70" s="0" t="n">
        <v>46.9</v>
      </c>
      <c r="S70" s="0" t="n">
        <v>53.1</v>
      </c>
      <c r="Z70" s="0" t="n">
        <v>4983</v>
      </c>
      <c r="AA70" s="0" t="n">
        <v>3342</v>
      </c>
      <c r="AB70" s="0" t="n">
        <v>1641</v>
      </c>
      <c r="AF70" s="0" t="n">
        <v>8.09</v>
      </c>
      <c r="AG70" s="0" t="n">
        <v>11.55</v>
      </c>
      <c r="AH70" s="0" t="n">
        <v>5.02</v>
      </c>
      <c r="AL70" s="0" t="s">
        <v>57</v>
      </c>
      <c r="AM70" s="0" t="s">
        <v>57</v>
      </c>
      <c r="AN70" s="0" t="s">
        <v>58</v>
      </c>
      <c r="AO70" s="0" t="s">
        <v>57</v>
      </c>
      <c r="AP70" s="0" t="n">
        <v>0.08</v>
      </c>
      <c r="AQ70" s="0" t="n">
        <v>0.12</v>
      </c>
      <c r="AR70" s="0" t="n">
        <v>0.05</v>
      </c>
      <c r="AV70" s="0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LibreOffice/25.2.5.2$Linux_X86_64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2025-08-12T13:11:16Z</dcterms:created>
  <dc:creator/>
  <dc:description/>
  <dc:language>en-GB</dc:language>
  <cp:lastModifiedBy/>
  <dcterms:modified xsi:type="dcterms:W3CDTF">2025-08-16T14:00:16Z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